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ocess Comparison" sheetId="2" state="visible" r:id="rId4"/>
    <sheet name="Token Spend Scenarios" sheetId="3" state="visible" r:id="rId5"/>
    <sheet name="Intangibles Risk" sheetId="4" state="visible" r:id="rId6"/>
    <sheet name="Investor View" sheetId="5" state="visible" r:id="rId7"/>
    <sheet name="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<sst xmlns="http://schemas.openxmlformats.org/spreadsheetml/2006/main" count="242" uniqueCount="219">
  <si>
    <t xml:space="preserve">The Agentic Economy: Input Assumptions</t>
  </si>
  <si>
    <t xml:space="preserve">1. Fully Loaded FTE Costs</t>
  </si>
  <si>
    <t xml:space="preserve">Average base salary (GBP)</t>
  </si>
  <si>
    <t xml:space="preserve">UK banking average, adjust per grade</t>
  </si>
  <si>
    <t xml:space="preserve">Fully loaded multiplier</t>
  </si>
  <si>
    <t xml:space="preserve">Benefits, NI, pension, office, management overhead</t>
  </si>
  <si>
    <t xml:space="preserve">Fully loaded FTE cost (GBP)</t>
  </si>
  <si>
    <t xml:space="preserve">Annual cost per FTE</t>
  </si>
  <si>
    <t xml:space="preserve">Productive hours per year</t>
  </si>
  <si>
    <t xml:space="preserve">52 weeks less holiday, sick, training</t>
  </si>
  <si>
    <t xml:space="preserve">Effective hourly rate (GBP)</t>
  </si>
  <si>
    <t xml:space="preserve">Fully loaded</t>
  </si>
  <si>
    <t xml:space="preserve">Average tasks per hour (human)</t>
  </si>
  <si>
    <t xml:space="preserve">Varies significantly by process</t>
  </si>
  <si>
    <t xml:space="preserve">Cost per task (human, GBP)</t>
  </si>
  <si>
    <t xml:space="preserve">2. AI Agent Costs</t>
  </si>
  <si>
    <t xml:space="preserve">Average input token price (per 1M tokens, GBP)</t>
  </si>
  <si>
    <t xml:space="preserve">Blended across models used</t>
  </si>
  <si>
    <t xml:space="preserve">Average output token price (per 1M tokens, GBP)</t>
  </si>
  <si>
    <t xml:space="preserve">Average input tokens per task</t>
  </si>
  <si>
    <t xml:space="preserve">Prompt + context</t>
  </si>
  <si>
    <t xml:space="preserve">Average output tokens per task</t>
  </si>
  <si>
    <t xml:space="preserve">Agent response</t>
  </si>
  <si>
    <t xml:space="preserve">Cost per task (AI agent, GBP)</t>
  </si>
  <si>
    <t xml:space="preserve">Pure inference cost</t>
  </si>
  <si>
    <t xml:space="preserve">Orchestration &amp; infra overhead (%)</t>
  </si>
  <si>
    <t xml:space="preserve">Monitoring, error handling, logging</t>
  </si>
  <si>
    <t xml:space="preserve">Fully loaded cost per task (AI, GBP)</t>
  </si>
  <si>
    <t xml:space="preserve">Including infrastructure</t>
  </si>
  <si>
    <t xml:space="preserve">AI tasks per hour</t>
  </si>
  <si>
    <t xml:space="preserve">Throughput per agent instance</t>
  </si>
  <si>
    <t xml:space="preserve">Annual token price decline rate</t>
  </si>
  <si>
    <t xml:space="preserve">Historical: 40-70% per annum</t>
  </si>
  <si>
    <t xml:space="preserve">3. Error Costs and Oversight</t>
  </si>
  <si>
    <t xml:space="preserve">Human error rate (%)</t>
  </si>
  <si>
    <t xml:space="preserve">Baseline: 2% across processes</t>
  </si>
  <si>
    <t xml:space="preserve">AI error rate (%)</t>
  </si>
  <si>
    <t xml:space="preserve">Current estimate, varies by task</t>
  </si>
  <si>
    <t xml:space="preserve">Average cost per error (GBP)</t>
  </si>
  <si>
    <t xml:space="preserve">Financial + reputational + remediation</t>
  </si>
  <si>
    <t xml:space="preserve">Human oversight requirement (%)</t>
  </si>
  <si>
    <t xml:space="preserve">% of AI tasks requiring human review</t>
  </si>
  <si>
    <t xml:space="preserve">Time per oversight review (minutes)</t>
  </si>
  <si>
    <t xml:space="preserve">Average review duration</t>
  </si>
  <si>
    <t xml:space="preserve">Oversight cost per AI task (GBP)</t>
  </si>
  <si>
    <t xml:space="preserve">Derived from hourly rate</t>
  </si>
  <si>
    <t xml:space="preserve">Total AI cost per task incl errors &amp; oversight (GBP)</t>
  </si>
  <si>
    <t xml:space="preserve">Total human cost per task incl errors (GBP)</t>
  </si>
  <si>
    <t xml:space="preserve">4. Token Consumption Benchmarks</t>
  </si>
  <si>
    <t xml:space="preserve">Huang benchmark (tokens as % of salary)</t>
  </si>
  <si>
    <t xml:space="preserve">Jensen Huang: 50% of engineer salary</t>
  </si>
  <si>
    <t xml:space="preserve">Implied annual token budget per FTE (GBP)</t>
  </si>
  <si>
    <t xml:space="preserve">a16z baseline (annual per engineer, GBP)</t>
  </si>
  <si>
    <t xml:space="preserve">a16z recommendation ~$8,000</t>
  </si>
  <si>
    <t xml:space="preserve">Current bank AI spend per FTE (GBP)</t>
  </si>
  <si>
    <t xml:space="preserve">Estimated current state</t>
  </si>
  <si>
    <t xml:space="preserve">Gap to Huang benchmark (GBP)</t>
  </si>
  <si>
    <t xml:space="preserve">Gap to a16z baseline (GBP)</t>
  </si>
  <si>
    <t xml:space="preserve">Total FTE headcount</t>
  </si>
  <si>
    <t xml:space="preserve">Approximate bank headcount</t>
  </si>
  <si>
    <t xml:space="preserve">Annual token spend at Huang benchmark (GBP m)</t>
  </si>
  <si>
    <t xml:space="preserve">Annual token spend at a16z baseline (GBP m)</t>
  </si>
  <si>
    <t xml:space="preserve">Current annual AI spend (GBP m)</t>
  </si>
  <si>
    <t xml:space="preserve">5. Balance Sheet and Accounting</t>
  </si>
  <si>
    <t xml:space="preserve">Capitalised software intangibles (GBP m)</t>
  </si>
  <si>
    <t xml:space="preserve">Per latest annual report</t>
  </si>
  <si>
    <t xml:space="preserve">Estimated % vulnerable to AI obsolescence</t>
  </si>
  <si>
    <t xml:space="preserve">Legacy codebases at risk</t>
  </si>
  <si>
    <t xml:space="preserve">Potential impairment exposure (GBP m)</t>
  </si>
  <si>
    <t xml:space="preserve">Annual amortisation of software intangibles (GBP m)</t>
  </si>
  <si>
    <t xml:space="preserve">AI spend classified as capex (%)</t>
  </si>
  <si>
    <t xml:space="preserve">Under current accounting treatment</t>
  </si>
  <si>
    <t xml:space="preserve">AI spend classified as opex (%)</t>
  </si>
  <si>
    <t xml:space="preserve">Expensed immediately</t>
  </si>
  <si>
    <t xml:space="preserve">Process-Level Comparison: Human vs AI Agent</t>
  </si>
  <si>
    <t xml:space="preserve">Input: Automatability by Process (editable)</t>
  </si>
  <si>
    <t xml:space="preserve">Process</t>
  </si>
  <si>
    <t xml:space="preserve">Annual Volume</t>
  </si>
  <si>
    <t xml:space="preserve">Automatability %</t>
  </si>
  <si>
    <t xml:space="preserve">FTEs Today</t>
  </si>
  <si>
    <t xml:space="preserve">Human Cost/Task</t>
  </si>
  <si>
    <t xml:space="preserve">AI Cost/Task</t>
  </si>
  <si>
    <t xml:space="preserve">Blended Cost/Task</t>
  </si>
  <si>
    <t xml:space="preserve">Annual Saving (GBP)</t>
  </si>
  <si>
    <t xml:space="preserve">Saving %</t>
  </si>
  <si>
    <t xml:space="preserve">Transaction Monitoring</t>
  </si>
  <si>
    <t xml:space="preserve">KYC / Onboarding</t>
  </si>
  <si>
    <t xml:space="preserve">Credit Decisioning</t>
  </si>
  <si>
    <t xml:space="preserve">Complaints Handling</t>
  </si>
  <si>
    <t xml:space="preserve">Fraud Investigation</t>
  </si>
  <si>
    <t xml:space="preserve">Regulatory Reporting</t>
  </si>
  <si>
    <t xml:space="preserve">Mortgage Processing</t>
  </si>
  <si>
    <t xml:space="preserve">Customer Service (L1)</t>
  </si>
  <si>
    <t xml:space="preserve">Internal Audit Prep</t>
  </si>
  <si>
    <t xml:space="preserve">Procurement / Vendor Mgmt</t>
  </si>
  <si>
    <t xml:space="preserve">TOTAL</t>
  </si>
  <si>
    <t xml:space="preserve">Implied FTE Displacement</t>
  </si>
  <si>
    <t xml:space="preserve">Implied FTE Reduction</t>
  </si>
  <si>
    <t xml:space="preserve">Remaining FTEs</t>
  </si>
  <si>
    <t xml:space="preserve">Token Consumption: Scenario Analysis</t>
  </si>
  <si>
    <t xml:space="preserve">Scenarios: Annual Token Spend per FTE (GBP)</t>
  </si>
  <si>
    <t xml:space="preserve">Scenario</t>
  </si>
  <si>
    <t xml:space="preserve">Spend/FTE (GBP)</t>
  </si>
  <si>
    <t xml:space="preserve">Total Spend (GBP m)</t>
  </si>
  <si>
    <t xml:space="preserve">% of Salary</t>
  </si>
  <si>
    <t xml:space="preserve">Productivity Uplift</t>
  </si>
  <si>
    <t xml:space="preserve">Net ROI</t>
  </si>
  <si>
    <t xml:space="preserve">Current state</t>
  </si>
  <si>
    <t xml:space="preserve">Conservative</t>
  </si>
  <si>
    <t xml:space="preserve">a16z baseline</t>
  </si>
  <si>
    <t xml:space="preserve">Moderate</t>
  </si>
  <si>
    <t xml:space="preserve">Huang benchmark</t>
  </si>
  <si>
    <t xml:space="preserve">Aggressive</t>
  </si>
  <si>
    <t xml:space="preserve">Jevons Paradox: Price Decline vs Consumption Growth</t>
  </si>
  <si>
    <t xml:space="preserve">Year</t>
  </si>
  <si>
    <t xml:space="preserve">Token Price Index</t>
  </si>
  <si>
    <t xml:space="preserve">Consumption Index</t>
  </si>
  <si>
    <t xml:space="preserve">Total Spend Index</t>
  </si>
  <si>
    <t xml:space="preserve">Spend (GBP m)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</si>
  <si>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</si>
  <si>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</si>
  <si>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</si>
  <si>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</si>
  <si>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</si>
  <si>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</si>
  <si>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Note: Jevons multiplier (consumption growth = 2x price decline) is editable in Year 1+ cells</t>
  </si>
  <si>
    <t xml:space="preserve">Legacy Intangibles: Impairment Scenario Analysis</t>
  </si>
  <si>
    <t xml:space="preserve">Capitalised Software by Category (editable)</t>
  </si>
  <si>
    <t xml:space="preserve">Software Category</t>
  </si>
  <si>
    <t xml:space="preserve">Carrying Value (GBP m)</t>
  </si>
  <si>
    <t xml:space="preserve">AI Vulnerability %</t>
  </si>
  <si>
    <t xml:space="preserve">Exposure (GBP m)</t>
  </si>
  <si>
    <t xml:space="preserve">Remaining Useful Life (yrs)</t>
  </si>
  <si>
    <t xml:space="preserve">Annual Amortisation (GBP m)</t>
  </si>
  <si>
    <t xml:space="preserve">Core banking platform</t>
  </si>
  <si>
    <t xml:space="preserve">Risk &amp; compliance engines</t>
  </si>
  <si>
    <t xml:space="preserve">Payments infrastructure</t>
  </si>
  <si>
    <t xml:space="preserve">Customer channels (web/mobile)</t>
  </si>
  <si>
    <t xml:space="preserve">Data &amp; analytics platforms</t>
  </si>
  <si>
    <t xml:space="preserve">Internal tooling &amp; workflow</t>
  </si>
  <si>
    <t xml:space="preserve">Legacy mainframe systems</t>
  </si>
  <si>
    <t xml:space="preserve">Impairment Timing Scenarios</t>
  </si>
  <si>
    <t xml:space="preserve">Trigger Year</t>
  </si>
  <si>
    <t xml:space="preserve">Impairment % of Exposure</t>
  </si>
  <si>
    <t xml:space="preserve">Write-down (GBP m)</t>
  </si>
  <si>
    <t xml:space="preserve">Impact on CET1 (bps)</t>
  </si>
  <si>
    <t xml:space="preserve">Impact on Cost:Income</t>
  </si>
  <si>
    <t xml:space="preserve">Assumed CET1 ratio (%)</t>
  </si>
  <si>
    <t xml:space="preserve">Current CET1 ratio</t>
  </si>
  <si>
    <t xml:space="preserve">Assumed Risk-Weighted Assets (GBP bn)</t>
  </si>
  <si>
    <t xml:space="preserve">Assumed total operating costs (GBP bn)</t>
  </si>
  <si>
    <t xml:space="preserve">Assumed total income (GBP bn)</t>
  </si>
  <si>
    <t xml:space="preserve">Gradual (5-year transition)</t>
  </si>
  <si>
    <t xml:space="preserve">Accelerated (AI capability jump)</t>
  </si>
  <si>
    <t xml:space="preserve">Sudden (regulatory mandate)</t>
  </si>
  <si>
    <t xml:space="preserve">Investor Lens: AI Transition Impact on Key Metrics</t>
  </si>
  <si>
    <t xml:space="preserve">Scenario: Cost:Income Ratio Trajectory</t>
  </si>
  <si>
    <t xml:space="preserve">AI Cost Savings (GBP m)</t>
  </si>
  <si>
    <t xml:space="preserve">AI Investment (GBP m)</t>
  </si>
  <si>
    <t xml:space="preserve">Net Impact (GBP m)</t>
  </si>
  <si>
    <t xml:space="preserve">Adj. Cost:Income</t>
  </si>
  <si>
    <t xml:space="preserve">Peer Average C:I</t>
  </si>
  <si>
    <t xml:space="preserve">AI Disclosure Readiness Checklist</t>
  </si>
  <si>
    <t xml:space="preserve">Disclosure Area</t>
  </si>
  <si>
    <t xml:space="preserve">Current Status</t>
  </si>
  <si>
    <t xml:space="preserve">Required By</t>
  </si>
  <si>
    <t xml:space="preserve">Owner</t>
  </si>
  <si>
    <t xml:space="preserve">Risk if Absent</t>
  </si>
  <si>
    <t xml:space="preserve">AI investment quantum</t>
  </si>
  <si>
    <t xml:space="preserve">Partial</t>
  </si>
  <si>
    <t xml:space="preserve">FY 2026</t>
  </si>
  <si>
    <t xml:space="preserve">CFO</t>
  </si>
  <si>
    <t xml:space="preserve">Peer comparison gap</t>
  </si>
  <si>
    <t xml:space="preserve">Token consumption metrics</t>
  </si>
  <si>
    <t xml:space="preserve">Not tracked</t>
  </si>
  <si>
    <t xml:space="preserve">H1 2027</t>
  </si>
  <si>
    <t xml:space="preserve">CIO</t>
  </si>
  <si>
    <t xml:space="preserve">Productivity narrative gap</t>
  </si>
  <si>
    <t xml:space="preserve">Intangibles obsolescence risk</t>
  </si>
  <si>
    <t xml:space="preserve">Not disclosed</t>
  </si>
  <si>
    <t xml:space="preserve">CFO / Audit</t>
  </si>
  <si>
    <t xml:space="preserve">Sudden write-down risk</t>
  </si>
  <si>
    <t xml:space="preserve">Workforce transition plan</t>
  </si>
  <si>
    <t xml:space="preserve">In development</t>
  </si>
  <si>
    <t xml:space="preserve">CHRO</t>
  </si>
  <si>
    <t xml:space="preserve">ESG / social licence risk</t>
  </si>
  <si>
    <t xml:space="preserve">AI error rate / quality metrics</t>
  </si>
  <si>
    <t xml:space="preserve">Not reported</t>
  </si>
  <si>
    <t xml:space="preserve">CRO</t>
  </si>
  <si>
    <t xml:space="preserve">Operational risk narrative</t>
  </si>
  <si>
    <t xml:space="preserve">Accounting policy (capex/opex)</t>
  </si>
  <si>
    <t xml:space="preserve">Under review</t>
  </si>
  <si>
    <t xml:space="preserve">CFO / External Audit</t>
  </si>
  <si>
    <t xml:space="preserve">Peer divergence</t>
  </si>
  <si>
    <t xml:space="preserve">Sensitivity Analysis: What Breaks the Model?</t>
  </si>
  <si>
    <t xml:space="preserve">Break-even Analysis</t>
  </si>
  <si>
    <t xml:space="preserve">Human cost per task (GBP)</t>
  </si>
  <si>
    <t xml:space="preserve">AI cost per task (GBP)</t>
  </si>
  <si>
    <t xml:space="preserve">Cost ratio (AI / Human)</t>
  </si>
  <si>
    <t xml:space="preserve">Current saving per task (GBP)</t>
  </si>
  <si>
    <t xml:space="preserve">What AI error rate breaks even with human cost?</t>
  </si>
  <si>
    <t xml:space="preserve">Break-even AI error rate</t>
  </si>
  <si>
    <t xml:space="preserve">Error rate at which AI cost = human cost</t>
  </si>
  <si>
    <t xml:space="preserve">Current AI error rate</t>
  </si>
  <si>
    <t xml:space="preserve">Headroom (break-even less current)</t>
  </si>
  <si>
    <t xml:space="preserve">Positive = safe margin</t>
  </si>
  <si>
    <t xml:space="preserve">What token price makes AI more expensive than humans?</t>
  </si>
  <si>
    <t xml:space="preserve">Crossover input token price (per 1M, GBP)</t>
  </si>
  <si>
    <t xml:space="preserve">Input token price at which AI becomes more expensive</t>
  </si>
  <si>
    <t xml:space="preserve">Current input token price (per 1M, GBP)</t>
  </si>
  <si>
    <t xml:space="preserve">Multiple of current price to break even</t>
  </si>
  <si>
    <t xml:space="preserve">Higher = more resilient</t>
  </si>
  <si>
    <t xml:space="preserve">Oversight Sensitivity</t>
  </si>
  <si>
    <t xml:space="preserve">If oversight requirement doubles:</t>
  </si>
  <si>
    <t xml:space="preserve">Total AI cost per task with 2x oversight</t>
  </si>
  <si>
    <t xml:space="preserve">If oversight requirement triples:</t>
  </si>
  <si>
    <t xml:space="preserve">Total AI cost per task with 3x oversight</t>
  </si>
  <si>
    <t xml:space="preserve">Oversight % that breaks even with human</t>
  </si>
  <si>
    <t xml:space="preserve">Maximum oversight before AI becomes more expensive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</si>
</sst>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0"/>
    <numFmt numFmtId="167" formatCode="#,##0.00"/>
    <numFmt numFmtId="168" formatCode="0.0"/>
    <numFmt numFmtId="169" formatCode="0.0000"/>
    <numFmt numFmtId="170" formatCode="0.0%"/>
    <numFmt numFmtId="171" formatCode="0"/>
    <numFmt numFmtId="172" formatCode="#,##0.0"/>
    <numFmt numFmtId="173" formatCode="\£#,##0.00"/>
    <numFmt numFmtId="174" formatCode="\£#,##0.0000"/>
    <numFmt numFmtId="175" formatCode="\£#,##0"/>
    <numFmt numFmtId="176" formatCode="\£#,##0.0"/>
    <numFmt numFmtId="177" formatCode="0.00\x"/>
    <numFmt numFmtId="178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F2F4F7"/>
        <bgColor rgb="FFFFF9E6"/>
      </patternFill>
    </fill>
    <fill>
      <patternFill patternType="solid">
        <fgColor rgb="FF2E5090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8"/>
      <rgbColor rgb="FF808080"/>
      <rgbColor rgb="FF9999FF"/>
      <rgbColor rgb="FF8E44AD"/>
      <rgbColor rgb="FFFFF9E6"/>
      <rgbColor rgb="FFF2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66"/>
      <rgbColor rgb="FF969696"/>
      <rgbColor rgb="FF003366"/>
      <rgbColor rgb="FF2E8B57"/>
      <rgbColor rgb="FF003300"/>
      <rgbColor rgb="FF333300"/>
      <rgbColor rgb="FFC0392B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8"/>
    <col collapsed="false" customWidth="true" hidden="false" outlineLevel="0" max="4" min="4" style="1" width="45"/>
    <col collapsed="false" customWidth="true" hidden="false" outlineLevel="0" max="5" min="5" style="1" width="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true" outlineLevel="0" collapsed="false">
      <c r="B4" s="4" t="s">
        <v>2</v>
      </c>
      <c r="C4" s="5" t="n">
        <v>55000</v>
      </c>
      <c r="D4" s="6" t="s">
        <v>3</v>
      </c>
    </row>
    <row r="5" customFormat="false" ht="15" hidden="false" customHeight="true" outlineLevel="0" collapsed="false">
      <c r="B5" s="4" t="s">
        <v>4</v>
      </c>
      <c r="C5" s="7" t="n">
        <v>1.9</v>
      </c>
      <c r="D5" s="6" t="s">
        <v>5</v>
      </c>
    </row>
    <row r="6" customFormat="false" ht="15" hidden="false" customHeight="true" outlineLevel="0" collapsed="false">
      <c r="B6" s="8" t="s">
        <v>6</v>
      </c>
      <c r="C6" s="9" t="n">
        <f aca="false">C4*C5</f>
        <v>104500</v>
      </c>
      <c r="D6" s="6" t="s">
        <v>7</v>
      </c>
    </row>
    <row r="7" customFormat="false" ht="15" hidden="false" customHeight="true" outlineLevel="0" collapsed="false">
      <c r="B7" s="4" t="s">
        <v>8</v>
      </c>
      <c r="C7" s="5" t="n">
        <v>1540</v>
      </c>
      <c r="D7" s="6" t="s">
        <v>9</v>
      </c>
    </row>
    <row r="8" customFormat="false" ht="15" hidden="false" customHeight="true" outlineLevel="0" collapsed="false">
      <c r="B8" s="8" t="s">
        <v>10</v>
      </c>
      <c r="C8" s="10" t="n">
        <f aca="false">C6/C7</f>
        <v>67.8571428571429</v>
      </c>
      <c r="D8" s="6" t="s">
        <v>11</v>
      </c>
    </row>
    <row r="9" customFormat="false" ht="15" hidden="false" customHeight="true" outlineLevel="0" collapsed="false">
      <c r="B9" s="4" t="s">
        <v>12</v>
      </c>
      <c r="C9" s="11" t="n">
        <v>4</v>
      </c>
      <c r="D9" s="6" t="s">
        <v>13</v>
      </c>
    </row>
    <row r="10" customFormat="false" ht="15" hidden="false" customHeight="true" outlineLevel="0" collapsed="false">
      <c r="B10" s="8" t="s">
        <v>14</v>
      </c>
      <c r="C10" s="10" t="n">
        <f aca="false">C8/C9</f>
        <v>16.9642857142857</v>
      </c>
    </row>
    <row r="12" customFormat="false" ht="15" hidden="false" customHeight="true" outlineLevel="0" collapsed="false">
      <c r="A12" s="3" t="s">
        <v>15</v>
      </c>
      <c r="B12" s="3"/>
      <c r="C12" s="3"/>
      <c r="D12" s="3"/>
    </row>
    <row r="13" customFormat="false" ht="15" hidden="false" customHeight="true" outlineLevel="0" collapsed="false">
      <c r="B13" s="4" t="s">
        <v>16</v>
      </c>
      <c r="C13" s="12" t="n">
        <v>2.5</v>
      </c>
      <c r="D13" s="6" t="s">
        <v>17</v>
      </c>
    </row>
    <row r="14" customFormat="false" ht="15" hidden="false" customHeight="true" outlineLevel="0" collapsed="false">
      <c r="B14" s="4" t="s">
        <v>18</v>
      </c>
      <c r="C14" s="12" t="n">
        <v>10</v>
      </c>
      <c r="D14" s="6" t="s">
        <v>17</v>
      </c>
    </row>
    <row r="15" customFormat="false" ht="15" hidden="false" customHeight="true" outlineLevel="0" collapsed="false">
      <c r="B15" s="4" t="s">
        <v>19</v>
      </c>
      <c r="C15" s="5" t="n">
        <v>2000</v>
      </c>
      <c r="D15" s="6" t="s">
        <v>20</v>
      </c>
    </row>
    <row r="16" customFormat="false" ht="15" hidden="false" customHeight="true" outlineLevel="0" collapsed="false">
      <c r="B16" s="4" t="s">
        <v>21</v>
      </c>
      <c r="C16" s="5" t="n">
        <v>500</v>
      </c>
      <c r="D16" s="6" t="s">
        <v>22</v>
      </c>
    </row>
    <row r="17" customFormat="false" ht="15" hidden="false" customHeight="true" outlineLevel="0" collapsed="false">
      <c r="B17" s="8" t="s">
        <v>23</v>
      </c>
      <c r="C17" s="13" t="n">
        <f aca="false">(C15/1000000*C13)+(C16/1000000*C14)</f>
        <v>0.01</v>
      </c>
      <c r="D17" s="6" t="s">
        <v>24</v>
      </c>
    </row>
    <row r="18" customFormat="false" ht="15" hidden="false" customHeight="true" outlineLevel="0" collapsed="false">
      <c r="B18" s="4" t="s">
        <v>25</v>
      </c>
      <c r="C18" s="14" t="n">
        <v>0.35</v>
      </c>
      <c r="D18" s="6" t="s">
        <v>26</v>
      </c>
    </row>
    <row r="19" customFormat="false" ht="15" hidden="false" customHeight="true" outlineLevel="0" collapsed="false">
      <c r="B19" s="8" t="s">
        <v>27</v>
      </c>
      <c r="C19" s="13" t="n">
        <f aca="false">C17*(1+C18)</f>
        <v>0.0135</v>
      </c>
      <c r="D19" s="6" t="s">
        <v>28</v>
      </c>
    </row>
    <row r="20" customFormat="false" ht="15" hidden="false" customHeight="true" outlineLevel="0" collapsed="false">
      <c r="B20" s="4" t="s">
        <v>29</v>
      </c>
      <c r="C20" s="5" t="n">
        <v>120</v>
      </c>
      <c r="D20" s="6" t="s">
        <v>30</v>
      </c>
    </row>
    <row r="21" customFormat="false" ht="15" hidden="false" customHeight="true" outlineLevel="0" collapsed="false">
      <c r="B21" s="4" t="s">
        <v>31</v>
      </c>
      <c r="C21" s="14" t="n">
        <v>0.4</v>
      </c>
      <c r="D21" s="6" t="s">
        <v>32</v>
      </c>
    </row>
    <row r="23" customFormat="false" ht="15" hidden="false" customHeight="true" outlineLevel="0" collapsed="false">
      <c r="A23" s="3" t="s">
        <v>33</v>
      </c>
      <c r="B23" s="3"/>
      <c r="C23" s="3"/>
      <c r="D23" s="3"/>
    </row>
    <row r="24" customFormat="false" ht="15" hidden="false" customHeight="true" outlineLevel="0" collapsed="false">
      <c r="B24" s="4" t="s">
        <v>34</v>
      </c>
      <c r="C24" s="14" t="n">
        <v>0.02</v>
      </c>
      <c r="D24" s="6" t="s">
        <v>35</v>
      </c>
    </row>
    <row r="25" customFormat="false" ht="15" hidden="false" customHeight="true" outlineLevel="0" collapsed="false">
      <c r="B25" s="4" t="s">
        <v>36</v>
      </c>
      <c r="C25" s="14" t="n">
        <v>0.05</v>
      </c>
      <c r="D25" s="6" t="s">
        <v>37</v>
      </c>
    </row>
    <row r="26" customFormat="false" ht="15" hidden="false" customHeight="true" outlineLevel="0" collapsed="false">
      <c r="B26" s="4" t="s">
        <v>38</v>
      </c>
      <c r="C26" s="5" t="n">
        <v>500</v>
      </c>
      <c r="D26" s="6" t="s">
        <v>39</v>
      </c>
    </row>
    <row r="27" customFormat="false" ht="15" hidden="false" customHeight="true" outlineLevel="0" collapsed="false">
      <c r="B27" s="4" t="s">
        <v>40</v>
      </c>
      <c r="C27" s="14" t="n">
        <v>0.15</v>
      </c>
      <c r="D27" s="6" t="s">
        <v>41</v>
      </c>
    </row>
    <row r="28" customFormat="false" ht="15" hidden="false" customHeight="true" outlineLevel="0" collapsed="false">
      <c r="B28" s="4" t="s">
        <v>42</v>
      </c>
      <c r="C28" s="15" t="n">
        <v>5</v>
      </c>
      <c r="D28" s="6" t="s">
        <v>43</v>
      </c>
    </row>
    <row r="29" customFormat="false" ht="15" hidden="false" customHeight="true" outlineLevel="0" collapsed="false">
      <c r="B29" s="8" t="s">
        <v>44</v>
      </c>
      <c r="C29" s="13" t="n">
        <f aca="false">C27*(C28/60)*C8</f>
        <v>0.848214285714286</v>
      </c>
      <c r="D29" s="6" t="s">
        <v>45</v>
      </c>
    </row>
    <row r="30" customFormat="false" ht="15" hidden="false" customHeight="true" outlineLevel="0" collapsed="false">
      <c r="B30" s="8" t="s">
        <v>46</v>
      </c>
      <c r="C30" s="13" t="n">
        <f aca="false">C19+(C25*C26)+C29</f>
        <v>25.8617142857143</v>
      </c>
    </row>
    <row r="31" customFormat="false" ht="15" hidden="false" customHeight="true" outlineLevel="0" collapsed="false">
      <c r="B31" s="8" t="s">
        <v>47</v>
      </c>
      <c r="C31" s="16" t="n">
        <f aca="false">C10+(C24*C26)</f>
        <v>26.9642857142857</v>
      </c>
    </row>
    <row r="33" customFormat="false" ht="15" hidden="false" customHeight="true" outlineLevel="0" collapsed="false">
      <c r="A33" s="3" t="s">
        <v>48</v>
      </c>
      <c r="B33" s="3"/>
      <c r="C33" s="3"/>
      <c r="D33" s="3"/>
    </row>
    <row r="34" customFormat="false" ht="15" hidden="false" customHeight="true" outlineLevel="0" collapsed="false">
      <c r="B34" s="4" t="s">
        <v>49</v>
      </c>
      <c r="C34" s="14" t="n">
        <v>0.5</v>
      </c>
      <c r="D34" s="6" t="s">
        <v>50</v>
      </c>
    </row>
    <row r="35" customFormat="false" ht="15" hidden="false" customHeight="true" outlineLevel="0" collapsed="false">
      <c r="B35" s="8" t="s">
        <v>51</v>
      </c>
      <c r="C35" s="9" t="n">
        <f aca="false">C4*C34</f>
        <v>27500</v>
      </c>
    </row>
    <row r="36" customFormat="false" ht="15" hidden="false" customHeight="true" outlineLevel="0" collapsed="false">
      <c r="B36" s="4" t="s">
        <v>52</v>
      </c>
      <c r="C36" s="5" t="n">
        <v>6700</v>
      </c>
      <c r="D36" s="6" t="s">
        <v>53</v>
      </c>
    </row>
    <row r="37" customFormat="false" ht="15" hidden="false" customHeight="true" outlineLevel="0" collapsed="false">
      <c r="B37" s="4" t="s">
        <v>54</v>
      </c>
      <c r="C37" s="5" t="n">
        <v>800</v>
      </c>
      <c r="D37" s="6" t="s">
        <v>55</v>
      </c>
    </row>
    <row r="38" customFormat="false" ht="15" hidden="false" customHeight="true" outlineLevel="0" collapsed="false">
      <c r="B38" s="8" t="s">
        <v>56</v>
      </c>
      <c r="C38" s="9" t="n">
        <f aca="false">C35-C37</f>
        <v>26700</v>
      </c>
    </row>
    <row r="39" customFormat="false" ht="15" hidden="false" customHeight="true" outlineLevel="0" collapsed="false">
      <c r="B39" s="8" t="s">
        <v>57</v>
      </c>
      <c r="C39" s="9" t="n">
        <f aca="false">C36-C37</f>
        <v>5900</v>
      </c>
    </row>
    <row r="40" customFormat="false" ht="15" hidden="false" customHeight="true" outlineLevel="0" collapsed="false">
      <c r="B40" s="4" t="s">
        <v>58</v>
      </c>
      <c r="C40" s="5" t="n">
        <v>60000</v>
      </c>
      <c r="D40" s="6" t="s">
        <v>59</v>
      </c>
    </row>
    <row r="41" customFormat="false" ht="15" hidden="false" customHeight="true" outlineLevel="0" collapsed="false">
      <c r="B41" s="8" t="s">
        <v>60</v>
      </c>
      <c r="C41" s="17" t="n">
        <f aca="false">C35*C40/1000000</f>
        <v>1650</v>
      </c>
    </row>
    <row r="42" customFormat="false" ht="15" hidden="false" customHeight="true" outlineLevel="0" collapsed="false">
      <c r="B42" s="8" t="s">
        <v>61</v>
      </c>
      <c r="C42" s="17" t="n">
        <f aca="false">C36*C40/1000000</f>
        <v>402</v>
      </c>
    </row>
    <row r="43" customFormat="false" ht="15" hidden="false" customHeight="true" outlineLevel="0" collapsed="false">
      <c r="B43" s="8" t="s">
        <v>62</v>
      </c>
      <c r="C43" s="17" t="n">
        <f aca="false">C37*C40/1000000</f>
        <v>48</v>
      </c>
    </row>
    <row r="45" customFormat="false" ht="15" hidden="false" customHeight="true" outlineLevel="0" collapsed="false">
      <c r="A45" s="3" t="s">
        <v>63</v>
      </c>
      <c r="B45" s="3"/>
      <c r="C45" s="3"/>
      <c r="D45" s="3"/>
    </row>
    <row r="46" customFormat="false" ht="15" hidden="false" customHeight="true" outlineLevel="0" collapsed="false">
      <c r="B46" s="4" t="s">
        <v>64</v>
      </c>
      <c r="C46" s="5" t="n">
        <v>3500</v>
      </c>
      <c r="D46" s="6" t="s">
        <v>65</v>
      </c>
    </row>
    <row r="47" customFormat="false" ht="15" hidden="false" customHeight="true" outlineLevel="0" collapsed="false">
      <c r="B47" s="4" t="s">
        <v>66</v>
      </c>
      <c r="C47" s="14" t="n">
        <v>0.25</v>
      </c>
      <c r="D47" s="6" t="s">
        <v>67</v>
      </c>
    </row>
    <row r="48" customFormat="false" ht="15" hidden="false" customHeight="true" outlineLevel="0" collapsed="false">
      <c r="B48" s="8" t="s">
        <v>68</v>
      </c>
      <c r="C48" s="9" t="n">
        <f aca="false">C46*C47</f>
        <v>875</v>
      </c>
    </row>
    <row r="49" customFormat="false" ht="23.25" hidden="false" customHeight="true" outlineLevel="0" collapsed="false">
      <c r="B49" s="4" t="s">
        <v>69</v>
      </c>
      <c r="C49" s="5" t="n">
        <v>700</v>
      </c>
    </row>
    <row r="50" customFormat="false" ht="15" hidden="false" customHeight="true" outlineLevel="0" collapsed="false">
      <c r="B50" s="4" t="s">
        <v>70</v>
      </c>
      <c r="C50" s="14" t="n">
        <v>0.3</v>
      </c>
      <c r="D50" s="6" t="s">
        <v>71</v>
      </c>
    </row>
    <row r="51" customFormat="false" ht="15" hidden="false" customHeight="true" outlineLevel="0" collapsed="false">
      <c r="B51" s="4" t="s">
        <v>72</v>
      </c>
      <c r="C51" s="14" t="n">
        <v>0.7</v>
      </c>
      <c r="D51" s="6" t="s">
        <v>73</v>
      </c>
    </row>
  </sheetData>
  <mergeCells count="6">
    <mergeCell ref="A1:D1"/>
    <mergeCell ref="A3:D3"/>
    <mergeCell ref="A12:D12"/>
    <mergeCell ref="A23:D23"/>
    <mergeCell ref="A33:D33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10" min="3" style="1" width="16"/>
  </cols>
  <sheetData>
    <row r="1" customFormat="false" ht="17.25" hidden="false" customHeight="true" outlineLevel="0" collapsed="false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75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B4" s="18" t="s">
        <v>76</v>
      </c>
      <c r="C4" s="18" t="s">
        <v>77</v>
      </c>
      <c r="D4" s="18" t="s">
        <v>78</v>
      </c>
      <c r="E4" s="18" t="s">
        <v>79</v>
      </c>
      <c r="F4" s="18" t="s">
        <v>80</v>
      </c>
      <c r="G4" s="18" t="s">
        <v>81</v>
      </c>
      <c r="H4" s="18" t="s">
        <v>82</v>
      </c>
      <c r="I4" s="18" t="s">
        <v>83</v>
      </c>
      <c r="J4" s="18" t="s">
        <v>84</v>
      </c>
    </row>
    <row r="5" customFormat="false" ht="15" hidden="false" customHeight="true" outlineLevel="0" collapsed="false">
      <c r="B5" s="4" t="s">
        <v>85</v>
      </c>
      <c r="C5" s="5" t="n">
        <v>5000000</v>
      </c>
      <c r="D5" s="14" t="n">
        <v>0.7</v>
      </c>
      <c r="E5" s="5" t="n">
        <v>120</v>
      </c>
      <c r="F5" s="19" t="n">
        <f aca="false">Assumptions!C31</f>
        <v>26.9642857142857</v>
      </c>
      <c r="G5" s="20" t="n">
        <f aca="false">Assumptions!C30</f>
        <v>25.8617142857143</v>
      </c>
      <c r="H5" s="21" t="n">
        <f aca="false">(D5*G5)+((1-D5)*F5)</f>
        <v>26.1924857142857</v>
      </c>
      <c r="I5" s="22" t="n">
        <f aca="false">C5*(F5-H5)</f>
        <v>3859000.00000001</v>
      </c>
      <c r="J5" s="23" t="n">
        <f aca="false">IF(F5=0,0,I5/(C5*F5))</f>
        <v>0.028623046357616</v>
      </c>
    </row>
    <row r="6" customFormat="false" ht="15" hidden="false" customHeight="true" outlineLevel="0" collapsed="false">
      <c r="B6" s="4" t="s">
        <v>86</v>
      </c>
      <c r="C6" s="5" t="n">
        <v>800000</v>
      </c>
      <c r="D6" s="14" t="n">
        <v>0.55</v>
      </c>
      <c r="E6" s="5" t="n">
        <v>200</v>
      </c>
      <c r="F6" s="19" t="n">
        <f aca="false">Assumptions!C31</f>
        <v>26.9642857142857</v>
      </c>
      <c r="G6" s="20" t="n">
        <f aca="false">Assumptions!C30</f>
        <v>25.8617142857143</v>
      </c>
      <c r="H6" s="21" t="n">
        <f aca="false">(D6*G6)+((1-D6)*F6)</f>
        <v>26.3578714285714</v>
      </c>
      <c r="I6" s="22" t="n">
        <f aca="false">C6*(F6-H6)</f>
        <v>485131.42857143</v>
      </c>
      <c r="J6" s="23" t="n">
        <f aca="false">IF(F6=0,0,I6/(C6*F6))</f>
        <v>0.0224895364238411</v>
      </c>
    </row>
    <row r="7" customFormat="false" ht="15" hidden="false" customHeight="true" outlineLevel="0" collapsed="false">
      <c r="B7" s="4" t="s">
        <v>87</v>
      </c>
      <c r="C7" s="5" t="n">
        <v>1200000</v>
      </c>
      <c r="D7" s="14" t="n">
        <v>0.45</v>
      </c>
      <c r="E7" s="5" t="n">
        <v>180</v>
      </c>
      <c r="F7" s="19" t="n">
        <f aca="false">Assumptions!C31</f>
        <v>26.9642857142857</v>
      </c>
      <c r="G7" s="20" t="n">
        <f aca="false">Assumptions!C30</f>
        <v>25.8617142857143</v>
      </c>
      <c r="H7" s="21" t="n">
        <f aca="false">(D7*G7)+((1-D7)*F7)</f>
        <v>26.4681285714286</v>
      </c>
      <c r="I7" s="22" t="n">
        <f aca="false">C7*(F7-H7)</f>
        <v>595388.571428572</v>
      </c>
      <c r="J7" s="23" t="n">
        <f aca="false">IF(F7=0,0,I7/(C7*F7))</f>
        <v>0.0184005298013245</v>
      </c>
    </row>
    <row r="8" customFormat="false" ht="15" hidden="false" customHeight="true" outlineLevel="0" collapsed="false">
      <c r="B8" s="4" t="s">
        <v>88</v>
      </c>
      <c r="C8" s="5" t="n">
        <v>600000</v>
      </c>
      <c r="D8" s="14" t="n">
        <v>0.4</v>
      </c>
      <c r="E8" s="5" t="n">
        <v>150</v>
      </c>
      <c r="F8" s="19" t="n">
        <f aca="false">Assumptions!C31</f>
        <v>26.9642857142857</v>
      </c>
      <c r="G8" s="20" t="n">
        <f aca="false">Assumptions!C30</f>
        <v>25.8617142857143</v>
      </c>
      <c r="H8" s="21" t="n">
        <f aca="false">(D8*G8)+((1-D8)*F8)</f>
        <v>26.5232571428571</v>
      </c>
      <c r="I8" s="22" t="n">
        <f aca="false">C8*(F8-H8)</f>
        <v>264617.142857145</v>
      </c>
      <c r="J8" s="23" t="n">
        <f aca="false">IF(F8=0,0,I8/(C8*F8))</f>
        <v>0.0163560264900664</v>
      </c>
    </row>
    <row r="9" customFormat="false" ht="15" hidden="false" customHeight="true" outlineLevel="0" collapsed="false">
      <c r="B9" s="4" t="s">
        <v>89</v>
      </c>
      <c r="C9" s="5" t="n">
        <v>400000</v>
      </c>
      <c r="D9" s="14" t="n">
        <v>0.35</v>
      </c>
      <c r="E9" s="5" t="n">
        <v>80</v>
      </c>
      <c r="F9" s="19" t="n">
        <f aca="false">Assumptions!C31</f>
        <v>26.9642857142857</v>
      </c>
      <c r="G9" s="20" t="n">
        <f aca="false">Assumptions!C30</f>
        <v>25.8617142857143</v>
      </c>
      <c r="H9" s="21" t="n">
        <f aca="false">(D9*G9)+((1-D9)*F9)</f>
        <v>26.5783857142857</v>
      </c>
      <c r="I9" s="22" t="n">
        <f aca="false">C9*(F9-H9)</f>
        <v>154360</v>
      </c>
      <c r="J9" s="23" t="n">
        <f aca="false">IF(F9=0,0,I9/(C9*F9))</f>
        <v>0.0143115231788079</v>
      </c>
    </row>
    <row r="10" customFormat="false" ht="15" hidden="false" customHeight="true" outlineLevel="0" collapsed="false">
      <c r="B10" s="4" t="s">
        <v>90</v>
      </c>
      <c r="C10" s="5" t="n">
        <v>200000</v>
      </c>
      <c r="D10" s="14" t="n">
        <v>0.6</v>
      </c>
      <c r="E10" s="5" t="n">
        <v>60</v>
      </c>
      <c r="F10" s="19" t="n">
        <f aca="false">Assumptions!C31</f>
        <v>26.9642857142857</v>
      </c>
      <c r="G10" s="20" t="n">
        <f aca="false">Assumptions!C30</f>
        <v>25.8617142857143</v>
      </c>
      <c r="H10" s="21" t="n">
        <f aca="false">(D10*G10)+((1-D10)*F10)</f>
        <v>26.3027428571429</v>
      </c>
      <c r="I10" s="22" t="n">
        <f aca="false">C10*(F10-H10)</f>
        <v>132308.571428572</v>
      </c>
      <c r="J10" s="23" t="n">
        <f aca="false">IF(F10=0,0,I10/(C10*F10))</f>
        <v>0.0245340397350994</v>
      </c>
    </row>
    <row r="11" customFormat="false" ht="15" hidden="false" customHeight="true" outlineLevel="0" collapsed="false">
      <c r="B11" s="4" t="s">
        <v>91</v>
      </c>
      <c r="C11" s="5" t="n">
        <v>350000</v>
      </c>
      <c r="D11" s="14" t="n">
        <v>0.5</v>
      </c>
      <c r="E11" s="5" t="n">
        <v>250</v>
      </c>
      <c r="F11" s="19" t="n">
        <f aca="false">Assumptions!C31</f>
        <v>26.9642857142857</v>
      </c>
      <c r="G11" s="20" t="n">
        <f aca="false">Assumptions!C30</f>
        <v>25.8617142857143</v>
      </c>
      <c r="H11" s="21" t="n">
        <f aca="false">(D11*G11)+((1-D11)*F11)</f>
        <v>26.413</v>
      </c>
      <c r="I11" s="22" t="n">
        <f aca="false">C11*(F11-H11)</f>
        <v>192950</v>
      </c>
      <c r="J11" s="23" t="n">
        <f aca="false">IF(F11=0,0,I11/(C11*F11))</f>
        <v>0.0204450331125828</v>
      </c>
    </row>
    <row r="12" customFormat="false" ht="15" hidden="false" customHeight="true" outlineLevel="0" collapsed="false">
      <c r="B12" s="4" t="s">
        <v>92</v>
      </c>
      <c r="C12" s="5" t="n">
        <v>8000000</v>
      </c>
      <c r="D12" s="14" t="n">
        <v>0.75</v>
      </c>
      <c r="E12" s="5" t="n">
        <v>500</v>
      </c>
      <c r="F12" s="19" t="n">
        <f aca="false">Assumptions!C31</f>
        <v>26.9642857142857</v>
      </c>
      <c r="G12" s="20" t="n">
        <f aca="false">Assumptions!C30</f>
        <v>25.8617142857143</v>
      </c>
      <c r="H12" s="21" t="n">
        <f aca="false">(D12*G12)+((1-D12)*F12)</f>
        <v>26.1373571428571</v>
      </c>
      <c r="I12" s="22" t="n">
        <f aca="false">C12*(F12-H12)</f>
        <v>6615428.5714286</v>
      </c>
      <c r="J12" s="23" t="n">
        <f aca="false">IF(F12=0,0,I12/(C12*F12))</f>
        <v>0.0306675496688743</v>
      </c>
    </row>
    <row r="13" customFormat="false" ht="15" hidden="false" customHeight="true" outlineLevel="0" collapsed="false">
      <c r="B13" s="4" t="s">
        <v>93</v>
      </c>
      <c r="C13" s="5" t="n">
        <v>50000</v>
      </c>
      <c r="D13" s="14" t="n">
        <v>0.3</v>
      </c>
      <c r="E13" s="5" t="n">
        <v>40</v>
      </c>
      <c r="F13" s="19" t="n">
        <f aca="false">Assumptions!C31</f>
        <v>26.9642857142857</v>
      </c>
      <c r="G13" s="20" t="n">
        <f aca="false">Assumptions!C30</f>
        <v>25.8617142857143</v>
      </c>
      <c r="H13" s="21" t="n">
        <f aca="false">(D13*G13)+((1-D13)*F13)</f>
        <v>26.6335142857143</v>
      </c>
      <c r="I13" s="22" t="n">
        <f aca="false">C13*(F13-H13)</f>
        <v>16538.5714285716</v>
      </c>
      <c r="J13" s="23" t="n">
        <f aca="false">IF(F13=0,0,I13/(C13*F13))</f>
        <v>0.0122670198675498</v>
      </c>
    </row>
    <row r="14" customFormat="false" ht="15" hidden="false" customHeight="true" outlineLevel="0" collapsed="false">
      <c r="B14" s="4" t="s">
        <v>94</v>
      </c>
      <c r="C14" s="5" t="n">
        <v>100000</v>
      </c>
      <c r="D14" s="14" t="n">
        <v>0.45</v>
      </c>
      <c r="E14" s="5" t="n">
        <v>30</v>
      </c>
      <c r="F14" s="19" t="n">
        <f aca="false">Assumptions!C31</f>
        <v>26.9642857142857</v>
      </c>
      <c r="G14" s="20" t="n">
        <f aca="false">Assumptions!C30</f>
        <v>25.8617142857143</v>
      </c>
      <c r="H14" s="21" t="n">
        <f aca="false">(D14*G14)+((1-D14)*F14)</f>
        <v>26.4681285714286</v>
      </c>
      <c r="I14" s="22" t="n">
        <f aca="false">C14*(F14-H14)</f>
        <v>49615.7142857143</v>
      </c>
      <c r="J14" s="23" t="n">
        <f aca="false">IF(F14=0,0,I14/(C14*F14))</f>
        <v>0.0184005298013245</v>
      </c>
    </row>
    <row r="15" customFormat="false" ht="15" hidden="false" customHeight="true" outlineLevel="0" collapsed="false">
      <c r="B15" s="24" t="s">
        <v>95</v>
      </c>
      <c r="C15" s="25" t="n">
        <f aca="false">SUM(C5:C14)</f>
        <v>16700000</v>
      </c>
      <c r="E15" s="25" t="n">
        <f aca="false">SUM(E5:E14)</f>
        <v>1610</v>
      </c>
      <c r="I15" s="26" t="n">
        <f aca="false">SUM(I5:I14)</f>
        <v>12365338.5714286</v>
      </c>
      <c r="J15" s="27" t="n">
        <f aca="false">IF(SUMPRODUCT(C5:C14,F5:F14)=0,0,I15/SUMPRODUCT(C5:C14,F5:F14))</f>
        <v>0.0274600055518104</v>
      </c>
    </row>
    <row r="17" customFormat="false" ht="15" hidden="false" customHeight="true" outlineLevel="0" collapsed="false">
      <c r="A17" s="3" t="s">
        <v>96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B18" s="18" t="s">
        <v>76</v>
      </c>
      <c r="C18" s="18" t="s">
        <v>79</v>
      </c>
      <c r="D18" s="18" t="s">
        <v>78</v>
      </c>
      <c r="E18" s="18" t="s">
        <v>97</v>
      </c>
      <c r="F18" s="18" t="s">
        <v>98</v>
      </c>
    </row>
    <row r="19" customFormat="false" ht="15" hidden="false" customHeight="true" outlineLevel="0" collapsed="false">
      <c r="B19" s="8" t="str">
        <f aca="false">B5</f>
        <v>Transaction Monitoring</v>
      </c>
      <c r="C19" s="28" t="n">
        <f aca="false">E5</f>
        <v>120</v>
      </c>
      <c r="D19" s="29" t="n">
        <f aca="false">D5</f>
        <v>0.7</v>
      </c>
      <c r="E19" s="9" t="n">
        <f aca="false">C19*D19</f>
        <v>84</v>
      </c>
      <c r="F19" s="9" t="n">
        <f aca="false">C19-E19</f>
        <v>36</v>
      </c>
    </row>
    <row r="20" customFormat="false" ht="15" hidden="false" customHeight="true" outlineLevel="0" collapsed="false">
      <c r="B20" s="8" t="str">
        <f aca="false">B6</f>
        <v>KYC / Onboarding</v>
      </c>
      <c r="C20" s="28" t="n">
        <f aca="false">E6</f>
        <v>200</v>
      </c>
      <c r="D20" s="29" t="n">
        <f aca="false">D6</f>
        <v>0.55</v>
      </c>
      <c r="E20" s="9" t="n">
        <f aca="false">C20*D20</f>
        <v>110</v>
      </c>
      <c r="F20" s="9" t="n">
        <f aca="false">C20-E20</f>
        <v>90</v>
      </c>
    </row>
    <row r="21" customFormat="false" ht="15" hidden="false" customHeight="true" outlineLevel="0" collapsed="false">
      <c r="B21" s="8" t="str">
        <f aca="false">B7</f>
        <v>Credit Decisioning</v>
      </c>
      <c r="C21" s="28" t="n">
        <f aca="false">E7</f>
        <v>180</v>
      </c>
      <c r="D21" s="29" t="n">
        <f aca="false">D7</f>
        <v>0.45</v>
      </c>
      <c r="E21" s="9" t="n">
        <f aca="false">C21*D21</f>
        <v>81</v>
      </c>
      <c r="F21" s="9" t="n">
        <f aca="false">C21-E21</f>
        <v>99</v>
      </c>
    </row>
    <row r="22" customFormat="false" ht="15" hidden="false" customHeight="true" outlineLevel="0" collapsed="false">
      <c r="B22" s="8" t="str">
        <f aca="false">B8</f>
        <v>Complaints Handling</v>
      </c>
      <c r="C22" s="28" t="n">
        <f aca="false">E8</f>
        <v>150</v>
      </c>
      <c r="D22" s="29" t="n">
        <f aca="false">D8</f>
        <v>0.4</v>
      </c>
      <c r="E22" s="9" t="n">
        <f aca="false">C22*D22</f>
        <v>60</v>
      </c>
      <c r="F22" s="9" t="n">
        <f aca="false">C22-E22</f>
        <v>90</v>
      </c>
    </row>
    <row r="23" customFormat="false" ht="15" hidden="false" customHeight="true" outlineLevel="0" collapsed="false">
      <c r="B23" s="8" t="str">
        <f aca="false">B9</f>
        <v>Fraud Investigation</v>
      </c>
      <c r="C23" s="28" t="n">
        <f aca="false">E9</f>
        <v>80</v>
      </c>
      <c r="D23" s="29" t="n">
        <f aca="false">D9</f>
        <v>0.35</v>
      </c>
      <c r="E23" s="9" t="n">
        <f aca="false">C23*D23</f>
        <v>28</v>
      </c>
      <c r="F23" s="9" t="n">
        <f aca="false">C23-E23</f>
        <v>52</v>
      </c>
    </row>
    <row r="24" customFormat="false" ht="15" hidden="false" customHeight="true" outlineLevel="0" collapsed="false">
      <c r="B24" s="8" t="str">
        <f aca="false">B10</f>
        <v>Regulatory Reporting</v>
      </c>
      <c r="C24" s="28" t="n">
        <f aca="false">E10</f>
        <v>60</v>
      </c>
      <c r="D24" s="29" t="n">
        <f aca="false">D10</f>
        <v>0.6</v>
      </c>
      <c r="E24" s="9" t="n">
        <f aca="false">C24*D24</f>
        <v>36</v>
      </c>
      <c r="F24" s="9" t="n">
        <f aca="false">C24-E24</f>
        <v>24</v>
      </c>
    </row>
    <row r="25" customFormat="false" ht="15" hidden="false" customHeight="true" outlineLevel="0" collapsed="false">
      <c r="B25" s="8" t="str">
        <f aca="false">B11</f>
        <v>Mortgage Processing</v>
      </c>
      <c r="C25" s="28" t="n">
        <f aca="false">E11</f>
        <v>250</v>
      </c>
      <c r="D25" s="29" t="n">
        <f aca="false">D11</f>
        <v>0.5</v>
      </c>
      <c r="E25" s="9" t="n">
        <f aca="false">C25*D25</f>
        <v>125</v>
      </c>
      <c r="F25" s="9" t="n">
        <f aca="false">C25-E25</f>
        <v>125</v>
      </c>
    </row>
    <row r="26" customFormat="false" ht="15" hidden="false" customHeight="true" outlineLevel="0" collapsed="false">
      <c r="B26" s="8" t="str">
        <f aca="false">B12</f>
        <v>Customer Service (L1)</v>
      </c>
      <c r="C26" s="28" t="n">
        <f aca="false">E12</f>
        <v>500</v>
      </c>
      <c r="D26" s="29" t="n">
        <f aca="false">D12</f>
        <v>0.75</v>
      </c>
      <c r="E26" s="9" t="n">
        <f aca="false">C26*D26</f>
        <v>375</v>
      </c>
      <c r="F26" s="9" t="n">
        <f aca="false">C26-E26</f>
        <v>125</v>
      </c>
    </row>
    <row r="27" customFormat="false" ht="15" hidden="false" customHeight="true" outlineLevel="0" collapsed="false">
      <c r="B27" s="8" t="str">
        <f aca="false">B13</f>
        <v>Internal Audit Prep</v>
      </c>
      <c r="C27" s="28" t="n">
        <f aca="false">E13</f>
        <v>40</v>
      </c>
      <c r="D27" s="29" t="n">
        <f aca="false">D13</f>
        <v>0.3</v>
      </c>
      <c r="E27" s="9" t="n">
        <f aca="false">C27*D27</f>
        <v>12</v>
      </c>
      <c r="F27" s="9" t="n">
        <f aca="false">C27-E27</f>
        <v>28</v>
      </c>
    </row>
    <row r="28" customFormat="false" ht="15" hidden="false" customHeight="true" outlineLevel="0" collapsed="false">
      <c r="B28" s="8" t="str">
        <f aca="false">B14</f>
        <v>Procurement / Vendor Mgmt</v>
      </c>
      <c r="C28" s="28" t="n">
        <f aca="false">E14</f>
        <v>30</v>
      </c>
      <c r="D28" s="29" t="n">
        <f aca="false">D14</f>
        <v>0.45</v>
      </c>
      <c r="E28" s="9" t="n">
        <f aca="false">C28*D28</f>
        <v>13.5</v>
      </c>
      <c r="F28" s="9" t="n">
        <f aca="false">C28-E28</f>
        <v>16.5</v>
      </c>
    </row>
    <row r="29" customFormat="false" ht="15" hidden="false" customHeight="true" outlineLevel="0" collapsed="false">
      <c r="B29" s="24" t="s">
        <v>95</v>
      </c>
      <c r="C29" s="30" t="n">
        <f aca="false">SUM(C19:C28)</f>
        <v>1610</v>
      </c>
      <c r="E29" s="30" t="n">
        <f aca="false">SUM(E19:E28)</f>
        <v>924.5</v>
      </c>
      <c r="F29" s="30" t="n">
        <f aca="false">SUM(F19:F28)</f>
        <v>685.5</v>
      </c>
    </row>
  </sheetData>
  <mergeCells count="3">
    <mergeCell ref="A1:J1"/>
    <mergeCell ref="A3:J3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57"/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7" min="3" style="1" width="16"/>
  </cols>
  <sheetData>
    <row r="1" customFormat="false" ht="17.25" hidden="false" customHeight="true" outlineLevel="0" collapsed="false">
      <c r="A1" s="2" t="s">
        <v>99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100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B4" s="18" t="s">
        <v>101</v>
      </c>
      <c r="C4" s="18" t="s">
        <v>102</v>
      </c>
      <c r="D4" s="18" t="s">
        <v>103</v>
      </c>
      <c r="E4" s="18" t="s">
        <v>104</v>
      </c>
      <c r="F4" s="18" t="s">
        <v>105</v>
      </c>
      <c r="G4" s="18" t="s">
        <v>106</v>
      </c>
    </row>
    <row r="5" customFormat="false" ht="15" hidden="false" customHeight="true" outlineLevel="0" collapsed="false">
      <c r="B5" s="4" t="s">
        <v>107</v>
      </c>
      <c r="C5" s="31" t="n">
        <f aca="false">Assumptions!C37</f>
        <v>800</v>
      </c>
      <c r="D5" s="32" t="n">
        <f aca="false">C5*Assumptions!C40/1000000</f>
        <v>48</v>
      </c>
      <c r="E5" s="23" t="n">
        <f aca="false">C5/Assumptions!C4</f>
        <v>0.0145454545454545</v>
      </c>
      <c r="F5" s="14" t="n">
        <v>0.05</v>
      </c>
      <c r="G5" s="23" t="n">
        <f aca="false">IF(C5=0,0,(F5*Assumptions!C4-C5)/C5)</f>
        <v>2.4375</v>
      </c>
    </row>
    <row r="6" customFormat="false" ht="15" hidden="false" customHeight="true" outlineLevel="0" collapsed="false">
      <c r="B6" s="4" t="s">
        <v>108</v>
      </c>
      <c r="C6" s="33" t="n">
        <v>3000</v>
      </c>
      <c r="D6" s="32" t="n">
        <f aca="false">C6*Assumptions!C40/1000000</f>
        <v>180</v>
      </c>
      <c r="E6" s="23" t="n">
        <f aca="false">C6/Assumptions!C4</f>
        <v>0.0545454545454545</v>
      </c>
      <c r="F6" s="14" t="n">
        <v>0.1</v>
      </c>
      <c r="G6" s="23" t="n">
        <f aca="false">IF(C6=0,0,(F6*Assumptions!C4-C6)/C6)</f>
        <v>0.833333333333333</v>
      </c>
    </row>
    <row r="7" customFormat="false" ht="15" hidden="false" customHeight="true" outlineLevel="0" collapsed="false">
      <c r="B7" s="4" t="s">
        <v>109</v>
      </c>
      <c r="C7" s="31" t="n">
        <f aca="false">Assumptions!C36</f>
        <v>6700</v>
      </c>
      <c r="D7" s="32" t="n">
        <f aca="false">C7*Assumptions!C40/1000000</f>
        <v>402</v>
      </c>
      <c r="E7" s="23" t="n">
        <f aca="false">C7/Assumptions!C4</f>
        <v>0.121818181818182</v>
      </c>
      <c r="F7" s="14" t="n">
        <v>0.2</v>
      </c>
      <c r="G7" s="23" t="n">
        <f aca="false">IF(C7=0,0,(F7*Assumptions!C4-C7)/C7)</f>
        <v>0.641791044776119</v>
      </c>
    </row>
    <row r="8" customFormat="false" ht="15" hidden="false" customHeight="true" outlineLevel="0" collapsed="false">
      <c r="B8" s="4" t="s">
        <v>110</v>
      </c>
      <c r="C8" s="33" t="n">
        <v>15000</v>
      </c>
      <c r="D8" s="32" t="n">
        <f aca="false">C8*Assumptions!C40/1000000</f>
        <v>900</v>
      </c>
      <c r="E8" s="23" t="n">
        <f aca="false">C8/Assumptions!C4</f>
        <v>0.272727272727273</v>
      </c>
      <c r="F8" s="14" t="n">
        <v>0.35</v>
      </c>
      <c r="G8" s="23" t="n">
        <f aca="false">IF(C8=0,0,(F8*Assumptions!C4-C8)/C8)</f>
        <v>0.283333333333333</v>
      </c>
    </row>
    <row r="9" customFormat="false" ht="15" hidden="false" customHeight="true" outlineLevel="0" collapsed="false">
      <c r="B9" s="4" t="s">
        <v>111</v>
      </c>
      <c r="C9" s="31" t="n">
        <f aca="false">Assumptions!C35</f>
        <v>27500</v>
      </c>
      <c r="D9" s="32" t="n">
        <f aca="false">C9*Assumptions!C40/1000000</f>
        <v>1650</v>
      </c>
      <c r="E9" s="23" t="n">
        <f aca="false">C9/Assumptions!C4</f>
        <v>0.5</v>
      </c>
      <c r="F9" s="14" t="n">
        <v>0.5</v>
      </c>
      <c r="G9" s="23" t="n">
        <f aca="false">IF(C9=0,0,(F9*Assumptions!C4-C9)/C9)</f>
        <v>0</v>
      </c>
    </row>
    <row r="10" customFormat="false" ht="15" hidden="false" customHeight="true" outlineLevel="0" collapsed="false">
      <c r="B10" s="4" t="s">
        <v>112</v>
      </c>
      <c r="C10" s="33" t="n">
        <v>40000</v>
      </c>
      <c r="D10" s="32" t="n">
        <f aca="false">C10*Assumptions!C40/1000000</f>
        <v>2400</v>
      </c>
      <c r="E10" s="23" t="n">
        <f aca="false">C10/Assumptions!C4</f>
        <v>0.727272727272727</v>
      </c>
      <c r="F10" s="14" t="n">
        <v>0.65</v>
      </c>
      <c r="G10" s="23" t="n">
        <f aca="false">IF(C10=0,0,(F10*Assumptions!C4-C10)/C10)</f>
        <v>-0.10625</v>
      </c>
    </row>
    <row r="12" customFormat="false" ht="15" hidden="false" customHeight="true" outlineLevel="0" collapsed="false">
      <c r="A12" s="3" t="s">
        <v>113</v>
      </c>
      <c r="B12" s="3"/>
      <c r="C12" s="3"/>
      <c r="D12" s="3"/>
      <c r="E12" s="3"/>
      <c r="F12" s="3"/>
      <c r="G12" s="3"/>
    </row>
    <row r="13" customFormat="false" ht="15" hidden="false" customHeight="true" outlineLevel="0" collapsed="false">
      <c r="B13" s="18" t="s">
        <v>114</v>
      </c>
      <c r="C13" s="18" t="s">
        <v>115</v>
      </c>
      <c r="D13" s="18" t="s">
        <v>116</v>
      </c>
      <c r="E13" s="18" t="s">
        <v>117</v>
      </c>
      <c r="F13" s="18" t="s">
        <v>118</v>
      </c>
    </row>
    <row r="14" customFormat="false" ht="15" hidden="false" customHeight="true" outlineLevel="0" collapsed="false">
      <c r="B14" s="34" t="s">
        <v>119</v>
      </c>
      <c r="C14" s="16" t="n">
        <v>1</v>
      </c>
      <c r="D14" s="16" t="n">
        <v>1</v>
      </c>
      <c r="E14" s="16" t="n">
        <f aca="false">C14*D14</f>
        <v>1</v>
      </c>
      <c r="F14" s="32" t="n">
        <f aca="false">E14*Assumptions!C43</f>
        <v>48</v>
      </c>
    </row>
    <row r="15" customFormat="false" ht="15" hidden="false" customHeight="true" outlineLevel="0" collapsed="false">
      <c r="B15" s="34" t="s">
        <v>120</v>
      </c>
      <c r="C15" s="16" t="n">
        <f aca="false">C14*(1-Assumptions!C21)</f>
        <v>0.6</v>
      </c>
      <c r="D15" s="7" t="n">
        <f aca="false">D14*(1+Assumptions!C21*2)</f>
        <v>1.8</v>
      </c>
      <c r="E15" s="16" t="n">
        <f aca="false">C15*D15</f>
        <v>1.08</v>
      </c>
      <c r="F15" s="32" t="n">
        <f aca="false">E15*Assumptions!C43</f>
        <v>51.84</v>
      </c>
    </row>
    <row r="16" customFormat="false" ht="15" hidden="false" customHeight="true" outlineLevel="0" collapsed="false">
      <c r="B16" s="34" t="s">
        <v>121</v>
      </c>
      <c r="C16" s="16" t="n">
        <f aca="false">C15*(1-Assumptions!C21)</f>
        <v>0.36</v>
      </c>
      <c r="D16" s="7" t="n">
        <f aca="false">D15*(1+Assumptions!C21*2)</f>
        <v>3.24</v>
      </c>
      <c r="E16" s="16" t="n">
        <f aca="false">C16*D16</f>
        <v>1.1664</v>
      </c>
      <c r="F16" s="32" t="n">
        <f aca="false">E16*Assumptions!C43</f>
        <v>55.9872</v>
      </c>
    </row>
    <row r="17" customFormat="false" ht="15" hidden="false" customHeight="true" outlineLevel="0" collapsed="false">
      <c r="B17" s="34" t="s">
        <v>122</v>
      </c>
      <c r="C17" s="16" t="n">
        <f aca="false">C16*(1-Assumptions!C21)</f>
        <v>0.216</v>
      </c>
      <c r="D17" s="7" t="n">
        <f aca="false">D16*(1+Assumptions!C21*2)</f>
        <v>5.832</v>
      </c>
      <c r="E17" s="16" t="n">
        <f aca="false">C17*D17</f>
        <v>1.259712</v>
      </c>
      <c r="F17" s="32" t="n">
        <f aca="false">E17*Assumptions!C43</f>
        <v>60.466176</v>
      </c>
    </row>
    <row r="18" customFormat="false" ht="15" hidden="false" customHeight="true" outlineLevel="0" collapsed="false">
      <c r="B18" s="34" t="s">
        <v>123</v>
      </c>
      <c r="C18" s="16" t="n">
        <f aca="false">C17*(1-Assumptions!C21)</f>
        <v>0.1296</v>
      </c>
      <c r="D18" s="7" t="n">
        <f aca="false">D17*(1+Assumptions!C21*2)</f>
        <v>10.4976</v>
      </c>
      <c r="E18" s="16" t="n">
        <f aca="false">C18*D18</f>
        <v>1.36048896</v>
      </c>
      <c r="F18" s="32" t="n">
        <f aca="false">E18*Assumptions!C43</f>
        <v>65.30347008</v>
      </c>
    </row>
    <row r="19" customFormat="false" ht="15" hidden="false" customHeight="true" outlineLevel="0" collapsed="false">
      <c r="B19" s="34" t="s">
        <v>124</v>
      </c>
      <c r="C19" s="16" t="n">
        <f aca="false">C18*(1-Assumptions!C21)</f>
        <v>0.07776</v>
      </c>
      <c r="D19" s="7" t="n">
        <f aca="false">D18*(1+Assumptions!C21*2)</f>
        <v>18.89568</v>
      </c>
      <c r="E19" s="16" t="n">
        <f aca="false">C19*D19</f>
        <v>1.4693280768</v>
      </c>
      <c r="F19" s="32" t="n">
        <f aca="false">E19*Assumptions!C43</f>
        <v>70.5277476864</v>
      </c>
    </row>
    <row r="21" customFormat="false" ht="15" hidden="false" customHeight="true" outlineLevel="0" collapsed="false">
      <c r="B21" s="35" t="s">
        <v>125</v>
      </c>
    </row>
  </sheetData>
  <mergeCells count="3">
    <mergeCell ref="A1:G1"/>
    <mergeCell ref="A3:G3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7" min="3" style="1" width="16"/>
  </cols>
  <sheetData>
    <row r="1" customFormat="false" ht="17.25" hidden="false" customHeight="true" outlineLevel="0" collapsed="false">
      <c r="A1" s="2" t="s">
        <v>126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127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B4" s="18" t="s">
        <v>128</v>
      </c>
      <c r="C4" s="18" t="s">
        <v>129</v>
      </c>
      <c r="D4" s="18" t="s">
        <v>130</v>
      </c>
      <c r="E4" s="18" t="s">
        <v>131</v>
      </c>
      <c r="F4" s="18" t="s">
        <v>132</v>
      </c>
      <c r="G4" s="18" t="s">
        <v>133</v>
      </c>
    </row>
    <row r="5" customFormat="false" ht="15" hidden="false" customHeight="true" outlineLevel="0" collapsed="false">
      <c r="B5" s="4" t="s">
        <v>134</v>
      </c>
      <c r="C5" s="5" t="n">
        <v>1200</v>
      </c>
      <c r="D5" s="14" t="n">
        <v>0.15</v>
      </c>
      <c r="E5" s="9" t="n">
        <f aca="false">C5*D5</f>
        <v>180</v>
      </c>
      <c r="F5" s="15" t="n">
        <v>8</v>
      </c>
      <c r="G5" s="17" t="n">
        <f aca="false">C5/F5</f>
        <v>150</v>
      </c>
    </row>
    <row r="6" customFormat="false" ht="15" hidden="false" customHeight="true" outlineLevel="0" collapsed="false">
      <c r="B6" s="4" t="s">
        <v>135</v>
      </c>
      <c r="C6" s="5" t="n">
        <v>600</v>
      </c>
      <c r="D6" s="14" t="n">
        <v>0.3</v>
      </c>
      <c r="E6" s="9" t="n">
        <f aca="false">C6*D6</f>
        <v>180</v>
      </c>
      <c r="F6" s="15" t="n">
        <v>6</v>
      </c>
      <c r="G6" s="17" t="n">
        <f aca="false">C6/F6</f>
        <v>100</v>
      </c>
    </row>
    <row r="7" customFormat="false" ht="15" hidden="false" customHeight="true" outlineLevel="0" collapsed="false">
      <c r="B7" s="4" t="s">
        <v>136</v>
      </c>
      <c r="C7" s="5" t="n">
        <v>500</v>
      </c>
      <c r="D7" s="14" t="n">
        <v>0.2</v>
      </c>
      <c r="E7" s="9" t="n">
        <f aca="false">C7*D7</f>
        <v>100</v>
      </c>
      <c r="F7" s="15" t="n">
        <v>7</v>
      </c>
      <c r="G7" s="17" t="n">
        <f aca="false">C7/F7</f>
        <v>71.4285714285714</v>
      </c>
    </row>
    <row r="8" customFormat="false" ht="15" hidden="false" customHeight="true" outlineLevel="0" collapsed="false">
      <c r="B8" s="4" t="s">
        <v>137</v>
      </c>
      <c r="C8" s="5" t="n">
        <v>400</v>
      </c>
      <c r="D8" s="14" t="n">
        <v>0.4</v>
      </c>
      <c r="E8" s="9" t="n">
        <f aca="false">C8*D8</f>
        <v>160</v>
      </c>
      <c r="F8" s="15" t="n">
        <v>4</v>
      </c>
      <c r="G8" s="17" t="n">
        <f aca="false">C8/F8</f>
        <v>100</v>
      </c>
    </row>
    <row r="9" customFormat="false" ht="15" hidden="false" customHeight="true" outlineLevel="0" collapsed="false">
      <c r="B9" s="4" t="s">
        <v>138</v>
      </c>
      <c r="C9" s="5" t="n">
        <v>350</v>
      </c>
      <c r="D9" s="14" t="n">
        <v>0.5</v>
      </c>
      <c r="E9" s="9" t="n">
        <f aca="false">C9*D9</f>
        <v>175</v>
      </c>
      <c r="F9" s="15" t="n">
        <v>5</v>
      </c>
      <c r="G9" s="17" t="n">
        <f aca="false">C9/F9</f>
        <v>70</v>
      </c>
    </row>
    <row r="10" customFormat="false" ht="15" hidden="false" customHeight="true" outlineLevel="0" collapsed="false">
      <c r="B10" s="4" t="s">
        <v>139</v>
      </c>
      <c r="C10" s="5" t="n">
        <v>250</v>
      </c>
      <c r="D10" s="14" t="n">
        <v>0.6</v>
      </c>
      <c r="E10" s="9" t="n">
        <f aca="false">C10*D10</f>
        <v>150</v>
      </c>
      <c r="F10" s="15" t="n">
        <v>4</v>
      </c>
      <c r="G10" s="17" t="n">
        <f aca="false">C10/F10</f>
        <v>62.5</v>
      </c>
    </row>
    <row r="11" customFormat="false" ht="15" hidden="false" customHeight="true" outlineLevel="0" collapsed="false">
      <c r="B11" s="4" t="s">
        <v>140</v>
      </c>
      <c r="C11" s="5" t="n">
        <v>200</v>
      </c>
      <c r="D11" s="14" t="n">
        <v>0.1</v>
      </c>
      <c r="E11" s="9" t="n">
        <f aca="false">C11*D11</f>
        <v>20</v>
      </c>
      <c r="F11" s="15" t="n">
        <v>10</v>
      </c>
      <c r="G11" s="17" t="n">
        <f aca="false">C11/F11</f>
        <v>20</v>
      </c>
    </row>
    <row r="12" customFormat="false" ht="15" hidden="false" customHeight="true" outlineLevel="0" collapsed="false">
      <c r="B12" s="24" t="s">
        <v>95</v>
      </c>
      <c r="C12" s="30" t="n">
        <f aca="false">SUM(C5:C11)</f>
        <v>3500</v>
      </c>
      <c r="E12" s="30" t="n">
        <f aca="false">SUM(E5:E11)</f>
        <v>965</v>
      </c>
      <c r="G12" s="36" t="n">
        <f aca="false">SUM(G5:G11)</f>
        <v>573.928571428571</v>
      </c>
    </row>
    <row r="14" customFormat="false" ht="15" hidden="false" customHeight="true" outlineLevel="0" collapsed="false">
      <c r="A14" s="3" t="s">
        <v>141</v>
      </c>
      <c r="B14" s="3"/>
      <c r="C14" s="3"/>
      <c r="D14" s="3"/>
      <c r="E14" s="3"/>
      <c r="F14" s="3"/>
      <c r="G14" s="3"/>
    </row>
    <row r="15" customFormat="false" ht="15" hidden="false" customHeight="true" outlineLevel="0" collapsed="false">
      <c r="B15" s="18" t="s">
        <v>101</v>
      </c>
      <c r="C15" s="18" t="s">
        <v>142</v>
      </c>
      <c r="D15" s="18" t="s">
        <v>143</v>
      </c>
      <c r="E15" s="18" t="s">
        <v>144</v>
      </c>
      <c r="F15" s="18" t="s">
        <v>145</v>
      </c>
      <c r="G15" s="18" t="s">
        <v>146</v>
      </c>
    </row>
    <row r="16" customFormat="false" ht="15" hidden="false" customHeight="true" outlineLevel="0" collapsed="false">
      <c r="B16" s="4" t="s">
        <v>147</v>
      </c>
      <c r="C16" s="14" t="n">
        <v>0.135</v>
      </c>
      <c r="G16" s="6" t="s">
        <v>148</v>
      </c>
    </row>
    <row r="17" customFormat="false" ht="15" hidden="false" customHeight="true" outlineLevel="0" collapsed="false">
      <c r="B17" s="4" t="s">
        <v>149</v>
      </c>
      <c r="C17" s="5" t="n">
        <v>180</v>
      </c>
    </row>
    <row r="18" customFormat="false" ht="15" hidden="false" customHeight="true" outlineLevel="0" collapsed="false">
      <c r="B18" s="4" t="s">
        <v>150</v>
      </c>
      <c r="C18" s="37" t="n">
        <v>8.5</v>
      </c>
    </row>
    <row r="19" customFormat="false" ht="15" hidden="false" customHeight="true" outlineLevel="0" collapsed="false">
      <c r="B19" s="4" t="s">
        <v>151</v>
      </c>
      <c r="C19" s="37" t="n">
        <v>14</v>
      </c>
    </row>
    <row r="21" customFormat="false" ht="15" hidden="false" customHeight="true" outlineLevel="0" collapsed="false">
      <c r="B21" s="18" t="s">
        <v>101</v>
      </c>
      <c r="C21" s="18" t="s">
        <v>142</v>
      </c>
      <c r="D21" s="18" t="s">
        <v>143</v>
      </c>
      <c r="E21" s="18" t="s">
        <v>144</v>
      </c>
      <c r="F21" s="18" t="s">
        <v>145</v>
      </c>
      <c r="G21" s="18" t="s">
        <v>146</v>
      </c>
    </row>
    <row r="22" customFormat="false" ht="15" hidden="false" customHeight="true" outlineLevel="0" collapsed="false">
      <c r="B22" s="4" t="s">
        <v>152</v>
      </c>
      <c r="C22" s="38" t="n">
        <v>2028</v>
      </c>
      <c r="D22" s="14" t="n">
        <v>0.4</v>
      </c>
      <c r="E22" s="9" t="n">
        <f aca="false">E12*D22</f>
        <v>386</v>
      </c>
      <c r="F22" s="39" t="n">
        <f aca="false">(E22/1000)/(C17)*10000</f>
        <v>21.4444444444444</v>
      </c>
      <c r="G22" s="23" t="n">
        <f aca="false">(C18+(E22/1000))/C19</f>
        <v>0.634714285714286</v>
      </c>
    </row>
    <row r="23" customFormat="false" ht="15" hidden="false" customHeight="true" outlineLevel="0" collapsed="false">
      <c r="B23" s="4" t="s">
        <v>153</v>
      </c>
      <c r="C23" s="38" t="n">
        <v>2027</v>
      </c>
      <c r="D23" s="14" t="n">
        <v>0.65</v>
      </c>
      <c r="E23" s="9" t="n">
        <f aca="false">E12*D23</f>
        <v>627.25</v>
      </c>
      <c r="F23" s="39" t="n">
        <f aca="false">(E23/1000)/(C17)*10000</f>
        <v>34.8472222222222</v>
      </c>
      <c r="G23" s="23" t="n">
        <f aca="false">(C18+(E23/1000))/C19</f>
        <v>0.651946428571429</v>
      </c>
    </row>
    <row r="24" customFormat="false" ht="15" hidden="false" customHeight="true" outlineLevel="0" collapsed="false">
      <c r="B24" s="4" t="s">
        <v>154</v>
      </c>
      <c r="C24" s="38" t="n">
        <v>2026</v>
      </c>
      <c r="D24" s="14" t="n">
        <v>0.8</v>
      </c>
      <c r="E24" s="9" t="n">
        <f aca="false">E12*D24</f>
        <v>772</v>
      </c>
      <c r="F24" s="39" t="n">
        <f aca="false">(E24/1000)/(C17)*10000</f>
        <v>42.8888888888889</v>
      </c>
      <c r="G24" s="23" t="n">
        <f aca="false">(C18+(E24/1000))/C19</f>
        <v>0.662285714285714</v>
      </c>
    </row>
  </sheetData>
  <mergeCells count="3">
    <mergeCell ref="A1:G1"/>
    <mergeCell ref="A3:G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7" min="3" style="1" width="16"/>
  </cols>
  <sheetData>
    <row r="1" customFormat="false" ht="17.25" hidden="false" customHeight="true" outlineLevel="0" collapsed="false">
      <c r="A1" s="2" t="s">
        <v>155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156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B4" s="18" t="s">
        <v>114</v>
      </c>
      <c r="C4" s="18" t="s">
        <v>157</v>
      </c>
      <c r="D4" s="18" t="s">
        <v>158</v>
      </c>
      <c r="E4" s="18" t="s">
        <v>159</v>
      </c>
      <c r="F4" s="18" t="s">
        <v>160</v>
      </c>
      <c r="G4" s="18" t="s">
        <v>161</v>
      </c>
    </row>
    <row r="5" customFormat="false" ht="15" hidden="false" customHeight="true" outlineLevel="0" collapsed="false">
      <c r="B5" s="34" t="s">
        <v>119</v>
      </c>
      <c r="C5" s="17" t="n">
        <f aca="false">'Process Comparison'!I15*0.2/1000000</f>
        <v>2.47306771428572</v>
      </c>
      <c r="D5" s="5" t="n">
        <v>150</v>
      </c>
      <c r="E5" s="17" t="n">
        <f aca="false">C5-D5</f>
        <v>-147.526932285714</v>
      </c>
      <c r="F5" s="23" t="n">
        <f aca="false">('Intangibles Risk'!C18*1000-E5)/('Intangibles Risk'!C19*1000)</f>
        <v>0.617680495163265</v>
      </c>
      <c r="G5" s="14" t="n">
        <v>0.58</v>
      </c>
    </row>
    <row r="6" customFormat="false" ht="15" hidden="false" customHeight="true" outlineLevel="0" collapsed="false">
      <c r="B6" s="34" t="s">
        <v>120</v>
      </c>
      <c r="C6" s="17" t="n">
        <f aca="false">'Process Comparison'!I15*0.4/1000000</f>
        <v>4.94613542857145</v>
      </c>
      <c r="D6" s="5" t="n">
        <v>200</v>
      </c>
      <c r="E6" s="17" t="n">
        <f aca="false">C6-D6</f>
        <v>-195.053864571429</v>
      </c>
      <c r="F6" s="23" t="n">
        <f aca="false">('Intangibles Risk'!C18*1000-E6)/('Intangibles Risk'!C19*1000)</f>
        <v>0.621075276040816</v>
      </c>
      <c r="G6" s="14" t="n">
        <v>0.565</v>
      </c>
    </row>
    <row r="7" customFormat="false" ht="15" hidden="false" customHeight="true" outlineLevel="0" collapsed="false">
      <c r="B7" s="34" t="s">
        <v>121</v>
      </c>
      <c r="C7" s="17" t="n">
        <f aca="false">'Process Comparison'!I15*0.6/1000000</f>
        <v>7.41920314285717</v>
      </c>
      <c r="D7" s="5" t="n">
        <v>180</v>
      </c>
      <c r="E7" s="17" t="n">
        <f aca="false">C7-D7</f>
        <v>-172.580796857143</v>
      </c>
      <c r="F7" s="23" t="n">
        <f aca="false">('Intangibles Risk'!C18*1000-E7)/('Intangibles Risk'!C19*1000)</f>
        <v>0.619470056918367</v>
      </c>
      <c r="G7" s="14" t="n">
        <v>0.55</v>
      </c>
    </row>
    <row r="8" customFormat="false" ht="15" hidden="false" customHeight="true" outlineLevel="0" collapsed="false">
      <c r="B8" s="34" t="s">
        <v>122</v>
      </c>
      <c r="C8" s="17" t="n">
        <f aca="false">'Process Comparison'!I15*0.8/1000000</f>
        <v>9.89227085714289</v>
      </c>
      <c r="D8" s="5" t="n">
        <v>150</v>
      </c>
      <c r="E8" s="17" t="n">
        <f aca="false">C8-D8</f>
        <v>-140.107729142857</v>
      </c>
      <c r="F8" s="23" t="n">
        <f aca="false">('Intangibles Risk'!C18*1000-E8)/('Intangibles Risk'!C19*1000)</f>
        <v>0.617150552081633</v>
      </c>
      <c r="G8" s="14" t="n">
        <v>0.535</v>
      </c>
    </row>
    <row r="9" customFormat="false" ht="15" hidden="false" customHeight="true" outlineLevel="0" collapsed="false">
      <c r="B9" s="34" t="s">
        <v>123</v>
      </c>
      <c r="C9" s="17" t="n">
        <f aca="false">'Process Comparison'!I15*1/1000000</f>
        <v>12.3653385714286</v>
      </c>
      <c r="D9" s="5" t="n">
        <v>120</v>
      </c>
      <c r="E9" s="17" t="n">
        <f aca="false">C9-D9</f>
        <v>-107.634661428571</v>
      </c>
      <c r="F9" s="23" t="n">
        <f aca="false">('Intangibles Risk'!C18*1000-E9)/('Intangibles Risk'!C19*1000)</f>
        <v>0.614831047244898</v>
      </c>
      <c r="G9" s="14" t="n">
        <v>0.52</v>
      </c>
    </row>
    <row r="12" customFormat="false" ht="15" hidden="false" customHeight="true" outlineLevel="0" collapsed="false">
      <c r="A12" s="3" t="s">
        <v>162</v>
      </c>
      <c r="B12" s="3"/>
      <c r="C12" s="3"/>
      <c r="D12" s="3"/>
      <c r="E12" s="3"/>
      <c r="F12" s="3"/>
      <c r="G12" s="3"/>
    </row>
    <row r="13" customFormat="false" ht="15" hidden="false" customHeight="true" outlineLevel="0" collapsed="false">
      <c r="B13" s="18" t="s">
        <v>163</v>
      </c>
      <c r="C13" s="18" t="s">
        <v>164</v>
      </c>
      <c r="D13" s="18" t="s">
        <v>165</v>
      </c>
      <c r="E13" s="18" t="s">
        <v>166</v>
      </c>
      <c r="F13" s="18" t="s">
        <v>167</v>
      </c>
    </row>
    <row r="14" customFormat="false" ht="23.25" hidden="false" customHeight="true" outlineLevel="0" collapsed="false">
      <c r="B14" s="4" t="s">
        <v>168</v>
      </c>
      <c r="C14" s="40" t="s">
        <v>169</v>
      </c>
      <c r="D14" s="41" t="s">
        <v>170</v>
      </c>
      <c r="E14" s="8" t="s">
        <v>171</v>
      </c>
      <c r="F14" s="8" t="s">
        <v>172</v>
      </c>
    </row>
    <row r="15" customFormat="false" ht="23.25" hidden="false" customHeight="true" outlineLevel="0" collapsed="false">
      <c r="B15" s="4" t="s">
        <v>173</v>
      </c>
      <c r="C15" s="40" t="s">
        <v>174</v>
      </c>
      <c r="D15" s="41" t="s">
        <v>175</v>
      </c>
      <c r="E15" s="8" t="s">
        <v>176</v>
      </c>
      <c r="F15" s="8" t="s">
        <v>177</v>
      </c>
    </row>
    <row r="16" customFormat="false" ht="23.25" hidden="false" customHeight="true" outlineLevel="0" collapsed="false">
      <c r="B16" s="4" t="s">
        <v>178</v>
      </c>
      <c r="C16" s="40" t="s">
        <v>179</v>
      </c>
      <c r="D16" s="41" t="s">
        <v>170</v>
      </c>
      <c r="E16" s="8" t="s">
        <v>180</v>
      </c>
      <c r="F16" s="8" t="s">
        <v>181</v>
      </c>
    </row>
    <row r="17" customFormat="false" ht="23.25" hidden="false" customHeight="true" outlineLevel="0" collapsed="false">
      <c r="B17" s="4" t="s">
        <v>182</v>
      </c>
      <c r="C17" s="40" t="s">
        <v>183</v>
      </c>
      <c r="D17" s="41" t="s">
        <v>170</v>
      </c>
      <c r="E17" s="8" t="s">
        <v>184</v>
      </c>
      <c r="F17" s="8" t="s">
        <v>185</v>
      </c>
    </row>
    <row r="18" customFormat="false" ht="23.25" hidden="false" customHeight="true" outlineLevel="0" collapsed="false">
      <c r="B18" s="4" t="s">
        <v>186</v>
      </c>
      <c r="C18" s="40" t="s">
        <v>187</v>
      </c>
      <c r="D18" s="41" t="s">
        <v>175</v>
      </c>
      <c r="E18" s="8" t="s">
        <v>188</v>
      </c>
      <c r="F18" s="8" t="s">
        <v>189</v>
      </c>
    </row>
    <row r="19" customFormat="false" ht="23.25" hidden="false" customHeight="true" outlineLevel="0" collapsed="false">
      <c r="B19" s="4" t="s">
        <v>190</v>
      </c>
      <c r="C19" s="40" t="s">
        <v>191</v>
      </c>
      <c r="D19" s="41" t="s">
        <v>170</v>
      </c>
      <c r="E19" s="8" t="s">
        <v>192</v>
      </c>
      <c r="F19" s="8" t="s">
        <v>193</v>
      </c>
    </row>
  </sheetData>
  <mergeCells count="3">
    <mergeCell ref="A1:G1"/>
    <mergeCell ref="A3:G3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6" min="3" style="1" width="16"/>
  </cols>
  <sheetData>
    <row r="1" customFormat="false" ht="17.25" hidden="false" customHeight="true" outlineLevel="0" collapsed="false">
      <c r="A1" s="2" t="s">
        <v>194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195</v>
      </c>
      <c r="B3" s="3"/>
      <c r="C3" s="3"/>
      <c r="D3" s="3"/>
      <c r="E3" s="3"/>
      <c r="F3" s="3"/>
    </row>
    <row r="4" customFormat="false" ht="15" hidden="false" customHeight="true" outlineLevel="0" collapsed="false">
      <c r="B4" s="8" t="s">
        <v>196</v>
      </c>
      <c r="C4" s="21" t="n">
        <f aca="false">Assumptions!C31</f>
        <v>26.9642857142857</v>
      </c>
    </row>
    <row r="5" customFormat="false" ht="15" hidden="false" customHeight="true" outlineLevel="0" collapsed="false">
      <c r="B5" s="8" t="s">
        <v>197</v>
      </c>
      <c r="C5" s="42" t="n">
        <f aca="false">Assumptions!C30</f>
        <v>25.8617142857143</v>
      </c>
    </row>
    <row r="6" customFormat="false" ht="15" hidden="false" customHeight="true" outlineLevel="0" collapsed="false">
      <c r="B6" s="8" t="s">
        <v>198</v>
      </c>
      <c r="C6" s="43" t="n">
        <f aca="false">C5/C4</f>
        <v>0.959109933774834</v>
      </c>
    </row>
    <row r="7" customFormat="false" ht="15" hidden="false" customHeight="true" outlineLevel="0" collapsed="false">
      <c r="B7" s="8" t="s">
        <v>199</v>
      </c>
      <c r="C7" s="21" t="n">
        <f aca="false">C4-C5</f>
        <v>1.10257142857143</v>
      </c>
    </row>
    <row r="9" customFormat="false" ht="15" hidden="false" customHeight="true" outlineLevel="0" collapsed="false">
      <c r="A9" s="3" t="s">
        <v>200</v>
      </c>
      <c r="B9" s="3"/>
      <c r="C9" s="3"/>
      <c r="D9" s="3"/>
      <c r="E9" s="3"/>
      <c r="F9" s="3"/>
    </row>
    <row r="10" customFormat="false" ht="32.25" hidden="false" customHeight="true" outlineLevel="0" collapsed="false">
      <c r="B10" s="8" t="s">
        <v>201</v>
      </c>
      <c r="C10" s="23" t="n">
        <f aca="false">(Assumptions!C31-Assumptions!C19-Assumptions!C29)/Assumptions!C26</f>
        <v>0.0522051428571429</v>
      </c>
      <c r="D10" s="6" t="s">
        <v>202</v>
      </c>
    </row>
    <row r="11" customFormat="false" ht="15" hidden="false" customHeight="true" outlineLevel="0" collapsed="false">
      <c r="B11" s="8" t="s">
        <v>203</v>
      </c>
      <c r="C11" s="23" t="n">
        <f aca="false">Assumptions!C25</f>
        <v>0.05</v>
      </c>
    </row>
    <row r="12" customFormat="false" ht="21.75" hidden="false" customHeight="true" outlineLevel="0" collapsed="false">
      <c r="B12" s="8" t="s">
        <v>204</v>
      </c>
      <c r="C12" s="23" t="n">
        <f aca="false">C10-C11</f>
        <v>0.00220514285714286</v>
      </c>
      <c r="D12" s="6" t="s">
        <v>205</v>
      </c>
    </row>
    <row r="14" customFormat="false" ht="15" hidden="false" customHeight="true" outlineLevel="0" collapsed="false">
      <c r="A14" s="3" t="s">
        <v>206</v>
      </c>
      <c r="B14" s="3"/>
      <c r="C14" s="3"/>
      <c r="D14" s="3"/>
      <c r="E14" s="3"/>
      <c r="F14" s="3"/>
    </row>
    <row r="15" customFormat="false" ht="15" hidden="false" customHeight="true" outlineLevel="0" collapsed="false">
      <c r="B15" s="44" t="s">
        <v>207</v>
      </c>
      <c r="C15" s="21" t="n">
        <f aca="false">(Assumptions!C31-Assumptions!C29-(Assumptions!C25*Assumptions!C26)-(Assumptions!C16/1000000*Assumptions!C14)*(1+Assumptions!C18))/(Assumptions!C15/1000000*(1+Assumptions!C18))</f>
        <v>410.859788359789</v>
      </c>
      <c r="D15" s="35" t="s">
        <v>208</v>
      </c>
    </row>
    <row r="16" customFormat="false" ht="15" hidden="false" customHeight="true" outlineLevel="0" collapsed="false">
      <c r="B16" s="8" t="s">
        <v>209</v>
      </c>
      <c r="C16" s="21" t="n">
        <f aca="false">Assumptions!C13</f>
        <v>2.5</v>
      </c>
    </row>
    <row r="17" customFormat="false" ht="21.75" hidden="false" customHeight="true" outlineLevel="0" collapsed="false">
      <c r="B17" s="8" t="s">
        <v>210</v>
      </c>
      <c r="C17" s="45" t="n">
        <f aca="false">C15/C16</f>
        <v>164.343915343916</v>
      </c>
      <c r="D17" s="6" t="s">
        <v>211</v>
      </c>
    </row>
    <row r="19" customFormat="false" ht="15" hidden="false" customHeight="true" outlineLevel="0" collapsed="false">
      <c r="A19" s="3" t="s">
        <v>212</v>
      </c>
      <c r="B19" s="3"/>
      <c r="C19" s="3"/>
      <c r="D19" s="3"/>
      <c r="E19" s="3"/>
      <c r="F19" s="3"/>
    </row>
    <row r="20" customFormat="false" ht="15" hidden="false" customHeight="true" outlineLevel="0" collapsed="false">
      <c r="B20" s="44" t="s">
        <v>213</v>
      </c>
      <c r="C20" s="42" t="n">
        <f aca="false">Assumptions!C19+(Assumptions!C27*(Assumptions!C28/60)*Assumptions!C8)</f>
        <v>0.861714285714286</v>
      </c>
      <c r="D20" s="35" t="s">
        <v>214</v>
      </c>
    </row>
    <row r="21" customFormat="false" ht="15" hidden="false" customHeight="true" outlineLevel="0" collapsed="false">
      <c r="B21" s="44" t="s">
        <v>215</v>
      </c>
      <c r="C21" s="42" t="n">
        <f aca="false">Assumptions!C19+2*(Assumptions!C27*(Assumptions!C28/60)*Assumptions!C8)</f>
        <v>1.70992857142857</v>
      </c>
      <c r="D21" s="35" t="s">
        <v>216</v>
      </c>
    </row>
    <row r="22" customFormat="false" ht="32.25" hidden="false" customHeight="true" outlineLevel="0" collapsed="false">
      <c r="B22" s="8" t="s">
        <v>217</v>
      </c>
      <c r="C22" s="23" t="n">
        <f aca="false">(Assumptions!C31-Assumptions!C19-(Assumptions!C25*Assumptions!C26))/(Assumptions!C28/60*Assumptions!C8)</f>
        <v>0.344981052631579</v>
      </c>
      <c r="D22" s="6" t="s">
        <v>218</v>
      </c>
    </row>
  </sheetData>
  <mergeCells count="5">
    <mergeCell ref="A1:F1"/>
    <mergeCell ref="A3:F3"/>
    <mergeCell ref="A9:F9"/>
    <mergeCell ref="A14:F14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2026-03-24T16:02:43Z</dcterms:created>
  <dc:creator>openpyxl</dc:creator>
  <dc:description/>
  <dc:language>en-US</dc:language>
  <cp:lastModifiedBy/>
  <dcterms:modified xsi:type="dcterms:W3CDTF">2026-03-24T16:03:51Z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