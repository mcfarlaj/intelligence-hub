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amiemcfarlane/Library/Mobile Documents/com~apple~CloudDocs/Claude/Project/Disruption Intelligence/"/>
    </mc:Choice>
  </mc:AlternateContent>
  <xr:revisionPtr revIDLastSave="0" documentId="8_{C95C7E6D-C9F5-6A46-AC91-740B4D479FD2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Assumptions" sheetId="1" r:id="rId1"/>
    <sheet name="Capability Assessment" sheetId="2" r:id="rId2"/>
    <sheet name="Automatability" sheetId="3" r:id="rId3"/>
    <sheet name="Process Comparison" sheetId="4" r:id="rId4"/>
    <sheet name="Regulatory Stress Case" sheetId="5" r:id="rId5"/>
    <sheet name="Automatability Sensitivity" sheetId="6" r:id="rId6"/>
    <sheet name="Error Cost Model" sheetId="7" r:id="rId7"/>
    <sheet name="Implementation &amp; Payback" sheetId="8" r:id="rId8"/>
    <sheet name="Sensitivity Analysis" sheetId="9" r:id="rId9"/>
    <sheet name="Volume Scaling" sheetId="10" r:id="rId10"/>
    <sheet name="Price Trajectory" sheetId="11" r:id="rId11"/>
    <sheet name="Model Comparison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" i="12" l="1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A17" i="11"/>
  <c r="A16" i="11"/>
  <c r="A15" i="11"/>
  <c r="A14" i="11"/>
  <c r="A13" i="11"/>
  <c r="A12" i="11"/>
  <c r="C8" i="11"/>
  <c r="D8" i="11" s="1"/>
  <c r="E8" i="11" s="1"/>
  <c r="F8" i="11" s="1"/>
  <c r="C7" i="11"/>
  <c r="D7" i="11" s="1"/>
  <c r="E7" i="11" s="1"/>
  <c r="F7" i="11" s="1"/>
  <c r="B11" i="10"/>
  <c r="C10" i="10"/>
  <c r="A10" i="10"/>
  <c r="C9" i="10"/>
  <c r="A9" i="10"/>
  <c r="A8" i="10"/>
  <c r="C7" i="10"/>
  <c r="A7" i="10"/>
  <c r="C6" i="10"/>
  <c r="A6" i="10"/>
  <c r="C5" i="10"/>
  <c r="A5" i="10"/>
  <c r="A26" i="9"/>
  <c r="A25" i="9"/>
  <c r="A24" i="9"/>
  <c r="A23" i="9"/>
  <c r="A22" i="9"/>
  <c r="A21" i="9"/>
  <c r="F15" i="9"/>
  <c r="D15" i="9"/>
  <c r="C15" i="9"/>
  <c r="A15" i="9"/>
  <c r="F14" i="9"/>
  <c r="D14" i="9"/>
  <c r="C14" i="9"/>
  <c r="A14" i="9"/>
  <c r="F13" i="9"/>
  <c r="D13" i="9"/>
  <c r="C13" i="9"/>
  <c r="A13" i="9"/>
  <c r="F12" i="9"/>
  <c r="D12" i="9"/>
  <c r="C12" i="9"/>
  <c r="A12" i="9"/>
  <c r="F11" i="9"/>
  <c r="D11" i="9"/>
  <c r="C11" i="9"/>
  <c r="A11" i="9"/>
  <c r="F10" i="9"/>
  <c r="D10" i="9"/>
  <c r="C10" i="9"/>
  <c r="A10" i="9"/>
  <c r="B5" i="9"/>
  <c r="D13" i="8"/>
  <c r="D14" i="8" s="1"/>
  <c r="B32" i="8" s="1"/>
  <c r="C13" i="8"/>
  <c r="C14" i="8" s="1"/>
  <c r="C32" i="8" s="1"/>
  <c r="B13" i="8"/>
  <c r="B14" i="8" s="1"/>
  <c r="D32" i="8" s="1"/>
  <c r="B11" i="7"/>
  <c r="B10" i="7"/>
  <c r="B9" i="7"/>
  <c r="B8" i="7"/>
  <c r="B7" i="7"/>
  <c r="B6" i="7"/>
  <c r="C12" i="6"/>
  <c r="B11" i="6"/>
  <c r="B10" i="6"/>
  <c r="B9" i="6"/>
  <c r="B8" i="6"/>
  <c r="B7" i="6"/>
  <c r="B6" i="6"/>
  <c r="B5" i="5"/>
  <c r="J15" i="4"/>
  <c r="F15" i="4"/>
  <c r="E15" i="4"/>
  <c r="C15" i="4"/>
  <c r="J14" i="4"/>
  <c r="F14" i="4"/>
  <c r="E14" i="4"/>
  <c r="C14" i="4"/>
  <c r="J13" i="4"/>
  <c r="F13" i="4"/>
  <c r="E13" i="4"/>
  <c r="C13" i="4"/>
  <c r="F12" i="4"/>
  <c r="E12" i="4"/>
  <c r="C12" i="4"/>
  <c r="F11" i="4"/>
  <c r="E11" i="4"/>
  <c r="C11" i="4"/>
  <c r="F10" i="4"/>
  <c r="E10" i="4"/>
  <c r="C10" i="4"/>
  <c r="B7" i="4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D54" i="1"/>
  <c r="F54" i="1" s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D38" i="1"/>
  <c r="E38" i="1" s="1"/>
  <c r="F38" i="1" s="1"/>
  <c r="D37" i="1"/>
  <c r="E37" i="1" s="1"/>
  <c r="F37" i="1" s="1"/>
  <c r="D36" i="1"/>
  <c r="E36" i="1" s="1"/>
  <c r="F36" i="1" s="1"/>
  <c r="D35" i="1"/>
  <c r="E35" i="1" s="1"/>
  <c r="F35" i="1" s="1"/>
  <c r="D34" i="1"/>
  <c r="E34" i="1" s="1"/>
  <c r="F34" i="1" s="1"/>
  <c r="D33" i="1"/>
  <c r="E33" i="1" s="1"/>
  <c r="F33" i="1" s="1"/>
  <c r="E26" i="9" l="1"/>
  <c r="B26" i="9"/>
  <c r="C26" i="9"/>
  <c r="D26" i="9"/>
  <c r="L26" i="9"/>
  <c r="K26" i="9"/>
  <c r="J26" i="9"/>
  <c r="I26" i="9"/>
  <c r="H26" i="9"/>
  <c r="G26" i="9"/>
  <c r="F26" i="9"/>
  <c r="E25" i="9"/>
  <c r="D25" i="9"/>
  <c r="C25" i="9"/>
  <c r="B25" i="9"/>
  <c r="L25" i="9"/>
  <c r="K25" i="9"/>
  <c r="J25" i="9"/>
  <c r="I25" i="9"/>
  <c r="H25" i="9"/>
  <c r="G25" i="9"/>
  <c r="F25" i="9"/>
  <c r="E24" i="9"/>
  <c r="D24" i="9"/>
  <c r="C24" i="9"/>
  <c r="B24" i="9"/>
  <c r="L24" i="9"/>
  <c r="K24" i="9"/>
  <c r="J24" i="9"/>
  <c r="I24" i="9"/>
  <c r="H24" i="9"/>
  <c r="G24" i="9"/>
  <c r="F24" i="9"/>
  <c r="E23" i="9"/>
  <c r="D23" i="9"/>
  <c r="C23" i="9"/>
  <c r="B23" i="9"/>
  <c r="L23" i="9"/>
  <c r="K23" i="9"/>
  <c r="J23" i="9"/>
  <c r="I23" i="9"/>
  <c r="H23" i="9"/>
  <c r="G23" i="9"/>
  <c r="F23" i="9"/>
  <c r="H22" i="9"/>
  <c r="E22" i="9"/>
  <c r="F22" i="9"/>
  <c r="G22" i="9"/>
  <c r="D22" i="9"/>
  <c r="C22" i="9"/>
  <c r="B22" i="9"/>
  <c r="L22" i="9"/>
  <c r="K22" i="9"/>
  <c r="J22" i="9"/>
  <c r="I22" i="9"/>
  <c r="B21" i="9"/>
  <c r="L21" i="9"/>
  <c r="K21" i="9"/>
  <c r="J21" i="9"/>
  <c r="I21" i="9"/>
  <c r="H21" i="9"/>
  <c r="G21" i="9"/>
  <c r="F21" i="9"/>
  <c r="E21" i="9"/>
  <c r="D21" i="9"/>
  <c r="C21" i="9"/>
  <c r="D11" i="7"/>
  <c r="D10" i="7"/>
  <c r="D9" i="7"/>
  <c r="D8" i="7"/>
  <c r="D7" i="7"/>
  <c r="D6" i="7"/>
  <c r="B12" i="7"/>
  <c r="B17" i="11"/>
  <c r="L15" i="4"/>
  <c r="K15" i="4"/>
  <c r="G15" i="9"/>
  <c r="G14" i="9"/>
  <c r="L14" i="4"/>
  <c r="K14" i="4"/>
  <c r="B16" i="11"/>
  <c r="G13" i="9"/>
  <c r="K13" i="4"/>
  <c r="B15" i="11"/>
  <c r="L13" i="4"/>
  <c r="D13" i="4"/>
  <c r="C8" i="10"/>
  <c r="C11" i="10" s="1"/>
  <c r="J10" i="4"/>
  <c r="J6" i="6" s="1"/>
  <c r="J12" i="4"/>
  <c r="J11" i="4"/>
  <c r="E10" i="5"/>
  <c r="F10" i="5" s="1"/>
  <c r="D8" i="6"/>
  <c r="D18" i="6" s="1"/>
  <c r="E8" i="6"/>
  <c r="F8" i="6"/>
  <c r="G8" i="6"/>
  <c r="H8" i="6"/>
  <c r="H18" i="6" s="1"/>
  <c r="I8" i="6"/>
  <c r="I18" i="6" s="1"/>
  <c r="J8" i="6"/>
  <c r="J18" i="6" s="1"/>
  <c r="E12" i="5"/>
  <c r="D10" i="6"/>
  <c r="E10" i="6"/>
  <c r="F10" i="6"/>
  <c r="G10" i="6"/>
  <c r="H10" i="6"/>
  <c r="H20" i="6" s="1"/>
  <c r="I10" i="6"/>
  <c r="J10" i="6"/>
  <c r="E8" i="5"/>
  <c r="F8" i="5" s="1"/>
  <c r="E11" i="5"/>
  <c r="E13" i="5"/>
  <c r="D6" i="6"/>
  <c r="E6" i="6"/>
  <c r="F6" i="6"/>
  <c r="G6" i="6"/>
  <c r="H6" i="6"/>
  <c r="I6" i="6"/>
  <c r="D9" i="6"/>
  <c r="E9" i="6"/>
  <c r="F9" i="6"/>
  <c r="G9" i="6"/>
  <c r="H9" i="6"/>
  <c r="H19" i="6" s="1"/>
  <c r="I9" i="6"/>
  <c r="I19" i="6" s="1"/>
  <c r="J9" i="6"/>
  <c r="J19" i="6" s="1"/>
  <c r="D11" i="6"/>
  <c r="E11" i="6"/>
  <c r="F11" i="6"/>
  <c r="G11" i="6"/>
  <c r="H11" i="6"/>
  <c r="H21" i="6" s="1"/>
  <c r="I11" i="6"/>
  <c r="I21" i="6" s="1"/>
  <c r="J11" i="6"/>
  <c r="J21" i="6" s="1"/>
  <c r="E9" i="5"/>
  <c r="F9" i="5" s="1"/>
  <c r="D15" i="4"/>
  <c r="D14" i="4"/>
  <c r="D12" i="4"/>
  <c r="D11" i="4"/>
  <c r="D10" i="4"/>
  <c r="H11" i="7" l="1"/>
  <c r="I11" i="7"/>
  <c r="I10" i="7"/>
  <c r="H10" i="7"/>
  <c r="I9" i="7"/>
  <c r="H9" i="7"/>
  <c r="H8" i="7"/>
  <c r="I8" i="7"/>
  <c r="H7" i="7"/>
  <c r="I7" i="7"/>
  <c r="H6" i="7"/>
  <c r="H12" i="7" s="1"/>
  <c r="D12" i="7"/>
  <c r="I6" i="7"/>
  <c r="I12" i="7" s="1"/>
  <c r="C17" i="11"/>
  <c r="D17" i="11"/>
  <c r="E17" i="11"/>
  <c r="F17" i="11"/>
  <c r="N15" i="4"/>
  <c r="F10" i="10"/>
  <c r="M15" i="4"/>
  <c r="E10" i="10"/>
  <c r="N14" i="4"/>
  <c r="F9" i="10"/>
  <c r="M14" i="4"/>
  <c r="E9" i="10"/>
  <c r="C16" i="11"/>
  <c r="D16" i="11"/>
  <c r="E16" i="11"/>
  <c r="F16" i="11"/>
  <c r="M13" i="4"/>
  <c r="E8" i="10"/>
  <c r="C15" i="11"/>
  <c r="D15" i="11"/>
  <c r="E15" i="11"/>
  <c r="F15" i="11"/>
  <c r="N13" i="4"/>
  <c r="F8" i="10"/>
  <c r="B13" i="9"/>
  <c r="D8" i="10"/>
  <c r="O8" i="12"/>
  <c r="K10" i="4"/>
  <c r="L10" i="4"/>
  <c r="G8" i="5"/>
  <c r="H8" i="5" s="1"/>
  <c r="G10" i="9"/>
  <c r="B12" i="11"/>
  <c r="K12" i="4"/>
  <c r="L12" i="4"/>
  <c r="G10" i="5"/>
  <c r="H10" i="5" s="1"/>
  <c r="G12" i="9"/>
  <c r="B14" i="11"/>
  <c r="K11" i="4"/>
  <c r="L11" i="4"/>
  <c r="G9" i="5"/>
  <c r="H9" i="5" s="1"/>
  <c r="G11" i="9"/>
  <c r="B13" i="11"/>
  <c r="D16" i="6"/>
  <c r="E16" i="6"/>
  <c r="F16" i="6"/>
  <c r="G12" i="6"/>
  <c r="G16" i="6"/>
  <c r="H12" i="6"/>
  <c r="H16" i="6"/>
  <c r="H22" i="6" s="1"/>
  <c r="I12" i="6"/>
  <c r="I16" i="6"/>
  <c r="J12" i="6"/>
  <c r="J16" i="6"/>
  <c r="D10" i="10"/>
  <c r="O10" i="12"/>
  <c r="B15" i="9"/>
  <c r="O9" i="12"/>
  <c r="D9" i="10"/>
  <c r="B14" i="9"/>
  <c r="O7" i="12"/>
  <c r="D7" i="10"/>
  <c r="B12" i="9"/>
  <c r="O6" i="12"/>
  <c r="D6" i="10"/>
  <c r="B11" i="9"/>
  <c r="O5" i="12"/>
  <c r="D5" i="10"/>
  <c r="B10" i="9"/>
  <c r="E18" i="6"/>
  <c r="D20" i="6"/>
  <c r="J20" i="6"/>
  <c r="G20" i="6"/>
  <c r="E20" i="6"/>
  <c r="F20" i="6"/>
  <c r="D19" i="6"/>
  <c r="E19" i="6"/>
  <c r="F19" i="6"/>
  <c r="G19" i="6"/>
  <c r="D21" i="6"/>
  <c r="E21" i="6"/>
  <c r="F21" i="6"/>
  <c r="G21" i="6"/>
  <c r="F18" i="6"/>
  <c r="G18" i="6"/>
  <c r="I20" i="6"/>
  <c r="D7" i="6"/>
  <c r="E7" i="6"/>
  <c r="F7" i="6"/>
  <c r="G7" i="6"/>
  <c r="H7" i="6"/>
  <c r="H17" i="6" s="1"/>
  <c r="I7" i="6"/>
  <c r="I17" i="6" s="1"/>
  <c r="J7" i="6"/>
  <c r="J17" i="6" s="1"/>
  <c r="F12" i="5"/>
  <c r="G12" i="5"/>
  <c r="H12" i="5" s="1"/>
  <c r="F11" i="5"/>
  <c r="G11" i="5"/>
  <c r="H11" i="5" s="1"/>
  <c r="F13" i="5"/>
  <c r="G13" i="5"/>
  <c r="H13" i="5" s="1"/>
  <c r="B13" i="5" l="1"/>
  <c r="I13" i="5"/>
  <c r="B12" i="5"/>
  <c r="I12" i="5"/>
  <c r="B11" i="5"/>
  <c r="I11" i="5"/>
  <c r="E13" i="9"/>
  <c r="H13" i="9" s="1"/>
  <c r="M24" i="9"/>
  <c r="G8" i="10"/>
  <c r="H8" i="10"/>
  <c r="J9" i="7" s="1"/>
  <c r="J8" i="10"/>
  <c r="I8" i="10"/>
  <c r="M10" i="4"/>
  <c r="E5" i="10"/>
  <c r="N10" i="4"/>
  <c r="F5" i="10"/>
  <c r="C12" i="11"/>
  <c r="D12" i="11"/>
  <c r="E12" i="11"/>
  <c r="F12" i="11"/>
  <c r="M12" i="4"/>
  <c r="E7" i="10"/>
  <c r="N12" i="4"/>
  <c r="F7" i="10"/>
  <c r="C14" i="11"/>
  <c r="D14" i="11"/>
  <c r="E14" i="11"/>
  <c r="F14" i="11"/>
  <c r="M11" i="4"/>
  <c r="E6" i="10"/>
  <c r="N11" i="4"/>
  <c r="F6" i="10"/>
  <c r="C13" i="11"/>
  <c r="D13" i="11"/>
  <c r="E13" i="11"/>
  <c r="F13" i="11"/>
  <c r="G10" i="10"/>
  <c r="H10" i="10"/>
  <c r="J11" i="7" s="1"/>
  <c r="I10" i="10"/>
  <c r="J10" i="10"/>
  <c r="E15" i="9"/>
  <c r="H15" i="9" s="1"/>
  <c r="M26" i="9"/>
  <c r="G9" i="10"/>
  <c r="H9" i="10"/>
  <c r="J10" i="7" s="1"/>
  <c r="I9" i="10"/>
  <c r="J9" i="10"/>
  <c r="M25" i="9"/>
  <c r="E14" i="9"/>
  <c r="H14" i="9" s="1"/>
  <c r="G7" i="10"/>
  <c r="H7" i="10"/>
  <c r="J8" i="7" s="1"/>
  <c r="I7" i="10"/>
  <c r="J7" i="10"/>
  <c r="M23" i="9"/>
  <c r="E12" i="9"/>
  <c r="H12" i="9" s="1"/>
  <c r="G6" i="10"/>
  <c r="H6" i="10"/>
  <c r="J7" i="7" s="1"/>
  <c r="I6" i="10"/>
  <c r="J6" i="10"/>
  <c r="E11" i="9"/>
  <c r="H11" i="9" s="1"/>
  <c r="M22" i="9"/>
  <c r="G5" i="10"/>
  <c r="G11" i="10" s="1"/>
  <c r="H5" i="10"/>
  <c r="I5" i="10"/>
  <c r="I11" i="10" s="1"/>
  <c r="J5" i="10"/>
  <c r="J11" i="10" s="1"/>
  <c r="D11" i="10"/>
  <c r="M21" i="9"/>
  <c r="E10" i="9"/>
  <c r="H10" i="9" s="1"/>
  <c r="I22" i="6"/>
  <c r="G17" i="6"/>
  <c r="G22" i="6" s="1"/>
  <c r="J22" i="6"/>
  <c r="D17" i="6"/>
  <c r="D22" i="6" s="1"/>
  <c r="D12" i="6"/>
  <c r="E17" i="6"/>
  <c r="E22" i="6" s="1"/>
  <c r="E12" i="6"/>
  <c r="F17" i="6"/>
  <c r="F22" i="6" s="1"/>
  <c r="F12" i="6"/>
  <c r="L9" i="7" l="1"/>
  <c r="K9" i="7"/>
  <c r="B8" i="5"/>
  <c r="I8" i="5"/>
  <c r="B10" i="5"/>
  <c r="I10" i="5"/>
  <c r="B9" i="5"/>
  <c r="I9" i="5"/>
  <c r="L11" i="7"/>
  <c r="K11" i="7"/>
  <c r="L10" i="7"/>
  <c r="K10" i="7"/>
  <c r="L8" i="7"/>
  <c r="K8" i="7"/>
  <c r="L7" i="7"/>
  <c r="K7" i="7"/>
  <c r="H11" i="10"/>
  <c r="J6" i="7"/>
  <c r="F11" i="10"/>
  <c r="E11" i="10"/>
  <c r="B29" i="8" l="1"/>
  <c r="C29" i="8"/>
  <c r="D29" i="8"/>
  <c r="L6" i="7"/>
  <c r="K6" i="7"/>
  <c r="K12" i="7" s="1"/>
  <c r="J12" i="7"/>
  <c r="D21" i="8"/>
  <c r="D24" i="8" s="1"/>
  <c r="B30" i="8" s="1"/>
  <c r="C21" i="8"/>
  <c r="C24" i="8" s="1"/>
  <c r="C30" i="8" s="1"/>
  <c r="B21" i="8"/>
  <c r="B24" i="8" s="1"/>
  <c r="D30" i="8" s="1"/>
  <c r="B31" i="8" l="1"/>
  <c r="B33" i="8" s="1"/>
  <c r="C31" i="8"/>
  <c r="C33" i="8" s="1"/>
  <c r="D31" i="8"/>
  <c r="D33" i="8" s="1"/>
</calcChain>
</file>

<file path=xl/sharedStrings.xml><?xml version="1.0" encoding="utf-8"?>
<sst xmlns="http://schemas.openxmlformats.org/spreadsheetml/2006/main" count="445" uniqueCount="321">
  <si>
    <t>Agent Economics: Cost Model Assumptions</t>
  </si>
  <si>
    <t>Strategy, Insight &amp; Intelligence — March 2026</t>
  </si>
  <si>
    <t>1. API Token Pricing (per 1M tokens, USD)</t>
  </si>
  <si>
    <t>Sources: Official pricing pages as at March 2026. Prices subject to frequent change.</t>
  </si>
  <si>
    <t>Provider</t>
  </si>
  <si>
    <t>Model</t>
  </si>
  <si>
    <t>Tier</t>
  </si>
  <si>
    <t>Input $/MTok</t>
  </si>
  <si>
    <t>Output $/MTok</t>
  </si>
  <si>
    <t>Context Window</t>
  </si>
  <si>
    <t>Capability Rating (1–5)</t>
  </si>
  <si>
    <t>Notes</t>
  </si>
  <si>
    <t>Anthropic</t>
  </si>
  <si>
    <t>Claude Opus 4.6</t>
  </si>
  <si>
    <t>Frontier</t>
  </si>
  <si>
    <t>1M</t>
  </si>
  <si>
    <t>Top reasoning, extended thinking, agentic</t>
  </si>
  <si>
    <t>Claude Sonnet 4.6</t>
  </si>
  <si>
    <t>Strong mid-tier</t>
  </si>
  <si>
    <t>Strong all-rounder, good agentic performance</t>
  </si>
  <si>
    <t>Claude Haiku 4.5</t>
  </si>
  <si>
    <t>Fast/cheap</t>
  </si>
  <si>
    <t>200K</t>
  </si>
  <si>
    <t>High volume, structured tasks</t>
  </si>
  <si>
    <t>OpenAI</t>
  </si>
  <si>
    <t>GPT-5.4</t>
  </si>
  <si>
    <t>Latest flagship, multimodal</t>
  </si>
  <si>
    <t>o3</t>
  </si>
  <si>
    <t>Reasoning</t>
  </si>
  <si>
    <t>Complex multi-step reasoning</t>
  </si>
  <si>
    <t>o4-mini</t>
  </si>
  <si>
    <t>Fast reasoning</t>
  </si>
  <si>
    <t>Cost-efficient reasoning</t>
  </si>
  <si>
    <t>GPT-4o</t>
  </si>
  <si>
    <t>Mid-tier</t>
  </si>
  <si>
    <t>128K</t>
  </si>
  <si>
    <t>Multimodal workhorse</t>
  </si>
  <si>
    <t>Google</t>
  </si>
  <si>
    <t>Gemini 3.1 Pro</t>
  </si>
  <si>
    <t>Latest frontier, strong coding/reasoning</t>
  </si>
  <si>
    <t>Gemini 2.5 Pro</t>
  </si>
  <si>
    <t>Prior gen frontier</t>
  </si>
  <si>
    <t>Strong but superseded by 3.1</t>
  </si>
  <si>
    <t>Gemini 2.5 Flash</t>
  </si>
  <si>
    <t>High volume tasks</t>
  </si>
  <si>
    <t>Gemini 2.5 Flash-Lite</t>
  </si>
  <si>
    <t>Ultra-cheap</t>
  </si>
  <si>
    <t>Simplest classification only</t>
  </si>
  <si>
    <t>xAI</t>
  </si>
  <si>
    <t>Grok 4</t>
  </si>
  <si>
    <t>256K</t>
  </si>
  <si>
    <t>Strong reasoning, web-connected</t>
  </si>
  <si>
    <t>Grok 4.1 Fast</t>
  </si>
  <si>
    <t>Speed-optimised, limited reasoning</t>
  </si>
  <si>
    <t>DeepSeek</t>
  </si>
  <si>
    <t>DeepSeek V4</t>
  </si>
  <si>
    <t>Value frontier</t>
  </si>
  <si>
    <t>Exceptional value, strong reasoning</t>
  </si>
  <si>
    <t>DeepSeek R2</t>
  </si>
  <si>
    <t>Deep reasoning at low cost</t>
  </si>
  <si>
    <t>Mistral</t>
  </si>
  <si>
    <t>Mistral Large 3</t>
  </si>
  <si>
    <t>European provider, good multilingual</t>
  </si>
  <si>
    <t>Codestral</t>
  </si>
  <si>
    <t>Code specialist</t>
  </si>
  <si>
    <t>Code generation/review specialist</t>
  </si>
  <si>
    <t>2. FX Assumptions</t>
  </si>
  <si>
    <t>GBP/USD Rate</t>
  </si>
  <si>
    <t>Approximate spot rate, March 2026</t>
  </si>
  <si>
    <t>3. UK Financial Services — Fully-Loaded FTE Cost Assumptions</t>
  </si>
  <si>
    <t>Based on public benchmarks: Robert Half, Glassdoor, major UK bank annual report indicators.</t>
  </si>
  <si>
    <t>Role / Grade</t>
  </si>
  <si>
    <t>Base Salary (£)</t>
  </si>
  <si>
    <t>Fully-Loaded Multiplier</t>
  </si>
  <si>
    <t>Fully-Loaded Cost (£)</t>
  </si>
  <si>
    <t>Cost/Hour (£)</t>
  </si>
  <si>
    <t>Cost/Min (£)</t>
  </si>
  <si>
    <t>Junior Analyst / Operations (Grade 5-6)</t>
  </si>
  <si>
    <t>NI, pension, office, IT, management, training, attrition</t>
  </si>
  <si>
    <t>Senior Analyst / Team Lead (Grade 7-8)</t>
  </si>
  <si>
    <t>Includes regulatory training costs</t>
  </si>
  <si>
    <t>Compliance Officer</t>
  </si>
  <si>
    <t>Higher training and certification overhead</t>
  </si>
  <si>
    <t>Operations Manager</t>
  </si>
  <si>
    <t>Management overhead allocation</t>
  </si>
  <si>
    <t>Senior Manager / VP equivalent</t>
  </si>
  <si>
    <t>Bonus provision, higher benefits</t>
  </si>
  <si>
    <t>Director / Head of Function</t>
  </si>
  <si>
    <t>Significant variable comp provision</t>
  </si>
  <si>
    <t>Productive hours assumption: 1,820/year (52 weeks x 5 days x 7 hrs)</t>
  </si>
  <si>
    <t>Fully-loaded multiplier includes: Employer NI (13.8%), pension (5-10%), office/IT costs, HR/management, training, attrition/recruitment</t>
  </si>
  <si>
    <t>4. Estimated Token Consumption per Task Type</t>
  </si>
  <si>
    <t>Conservative estimates based on typical agentic workflows. All values are adjustable inputs.</t>
  </si>
  <si>
    <t>Task Category</t>
  </si>
  <si>
    <t>Avg Input Tokens</t>
  </si>
  <si>
    <t>Avg Output Tokens</t>
  </si>
  <si>
    <t>Total Tokens</t>
  </si>
  <si>
    <t>Agent Calls per Task</t>
  </si>
  <si>
    <t>Total Tokens per Task</t>
  </si>
  <si>
    <t>Simple classification / triage</t>
  </si>
  <si>
    <t>Document review (per page)</t>
  </si>
  <si>
    <t>KYC data extraction and check</t>
  </si>
  <si>
    <t>Complaint analysis and draft response</t>
  </si>
  <si>
    <t>Fraud alert triage</t>
  </si>
  <si>
    <t>MI report generation (per section)</t>
  </si>
  <si>
    <t>Mortgage application processing</t>
  </si>
  <si>
    <t>Regulatory document review (per doc)</t>
  </si>
  <si>
    <t>Model Capability Assessment by Process Type</t>
  </si>
  <si>
    <t>Rating: 1 = unsuitable, 2 = basic/partial, 3 = adequate, 4 = strong, 5 = excellent. All ratings are editable assumptions.</t>
  </si>
  <si>
    <t>This sheet assesses which models can realistically automate each process end-to-end vs partially.</t>
  </si>
  <si>
    <t>Process</t>
  </si>
  <si>
    <t>Opus 4.6</t>
  </si>
  <si>
    <t>Sonnet 4.6</t>
  </si>
  <si>
    <t>Haiku 4.5</t>
  </si>
  <si>
    <t>KYC / Onboarding Check</t>
  </si>
  <si>
    <t>Fraud Alert Triage</t>
  </si>
  <si>
    <t>Mortgage Application Review</t>
  </si>
  <si>
    <t>Customer Complaint Resolution</t>
  </si>
  <si>
    <t>Regulatory Document Review</t>
  </si>
  <si>
    <t>MI / Management Reporting</t>
  </si>
  <si>
    <t>Rating key:</t>
  </si>
  <si>
    <t>5 = Excellent: can automate end-to-end with minimal oversight</t>
  </si>
  <si>
    <t>4 = Strong: can automate end-to-end but benefits from human review</t>
  </si>
  <si>
    <t>3 = Adequate: can handle with oversight, may struggle with edge cases</t>
  </si>
  <si>
    <t>2 = Partial: can assist but cannot drive the process autonomously</t>
  </si>
  <si>
    <t>1 = Unsuitable: insufficient capability for this task type</t>
  </si>
  <si>
    <t>Minimum Capability for Deployment</t>
  </si>
  <si>
    <t>These thresholds determine which models appear in the cost comparison. Editable.</t>
  </si>
  <si>
    <t>Deployment Mode</t>
  </si>
  <si>
    <t>Minimum Rating Required</t>
  </si>
  <si>
    <t>AI Solo (autonomous)</t>
  </si>
  <si>
    <t>Model must be rated 4+ to be considered for autonomous deployment</t>
  </si>
  <si>
    <t>Hybrid (human in the loop)</t>
  </si>
  <si>
    <t>Model must be rated 3+ to be considered for human-in-the-loop deployment</t>
  </si>
  <si>
    <t>Process Automatability Assumptions</t>
  </si>
  <si>
    <t>What proportion of each process can realistically be automated? These are adjustable assumptions.</t>
  </si>
  <si>
    <t>Yellow cells are editable inputs. Update these in collaboration with the business to reflect actual process knowledge.</t>
  </si>
  <si>
    <t>Business Process</t>
  </si>
  <si>
    <t>Total Human Time (mins)</t>
  </si>
  <si>
    <t>% Automatable (AI Solo)</t>
  </si>
  <si>
    <t>% Automatable (Hybrid)</t>
  </si>
  <si>
    <t>Residual Human Time: AI Solo (mins)</t>
  </si>
  <si>
    <t>Residual Human Time: Hybrid (mins)</t>
  </si>
  <si>
    <t>AI Solo: Automated Portion (mins)</t>
  </si>
  <si>
    <t>Hybrid: Automated Portion (mins)</t>
  </si>
  <si>
    <t>Rationale / Working</t>
  </si>
  <si>
    <t>Data extraction and matching highly automatable. Final sign-off, complex cases, PEP checks require human judgement.</t>
  </si>
  <si>
    <t>Pattern matching and initial scoring very strong for AI. Edge cases and escalation decisions need human review.</t>
  </si>
  <si>
    <t>Document parsing and data extraction strong. Affordability judgement, complex income structures, exceptions need humans.</t>
  </si>
  <si>
    <t>Drafting, categorisation, root cause analysis automatable. Tone, empathy in complex cases, regulatory judgement less so.</t>
  </si>
  <si>
    <t>Clause extraction, comparison, flagging strong. Novel interpretations, ambiguous requirements need expert judgement.</t>
  </si>
  <si>
    <t>Data aggregation, formatting, narrative generation highly automatable. Strategic interpretation, context less so.</t>
  </si>
  <si>
    <t>Process Cost Comparison: Human vs AI Agent vs Hybrid</t>
  </si>
  <si>
    <t>Uses automatability assumptions from the Automatability sheet. Costs reflect only the automatable portion.</t>
  </si>
  <si>
    <t>Reference Model:</t>
  </si>
  <si>
    <t>Input cost ($/MTok):</t>
  </si>
  <si>
    <t>Output cost ($/MTok):</t>
  </si>
  <si>
    <t>GBP/USD:</t>
  </si>
  <si>
    <t>Human Role</t>
  </si>
  <si>
    <t>Full Human Cost/Task (£)</t>
  </si>
  <si>
    <t>Input Tokens</t>
  </si>
  <si>
    <t>Output Tokens</t>
  </si>
  <si>
    <t>Agent Calls</t>
  </si>
  <si>
    <t>AI Token Cost (£)</t>
  </si>
  <si>
    <t>AI Solo Total (£)</t>
  </si>
  <si>
    <t>Hybrid Total (£)</t>
  </si>
  <si>
    <t>Saving: AI Solo vs Human</t>
  </si>
  <si>
    <t>Saving: Hybrid vs Human</t>
  </si>
  <si>
    <t>Senior Analyst</t>
  </si>
  <si>
    <t>Junior Analyst</t>
  </si>
  <si>
    <t>Regulatory Stress Case: Mandated Human Oversight Scenarios</t>
  </si>
  <si>
    <t>Models the impact if the FCA or PRA mandates minimum human review rates for AI driven decisions.</t>
  </si>
  <si>
    <t>Yellow cells are editable. Adjust mandated review rates per process to model different regulatory outcomes.</t>
  </si>
  <si>
    <t>Base Hybrid Saving (%)</t>
  </si>
  <si>
    <t>Mandated Review Rate</t>
  </si>
  <si>
    <t>Review Time per Task (mins)</t>
  </si>
  <si>
    <t>Reviewer Role Cost/Min</t>
  </si>
  <si>
    <t>Mandated Review Cost/Task (£)</t>
  </si>
  <si>
    <t>Stress Case Total/Task (£)</t>
  </si>
  <si>
    <t>Stress Saving vs Human</t>
  </si>
  <si>
    <t>Saving Lost vs Base Hybrid</t>
  </si>
  <si>
    <t>Notes on mandated review rates:</t>
  </si>
  <si>
    <t>100% = every AI decision reviewed by a qualified human (KYC, mortgage, regulatory docs under Consumer Duty)</t>
  </si>
  <si>
    <t>50% = sample based review (fraud triage where false positive tolerance is higher)</t>
  </si>
  <si>
    <t>30% = light touch sampling (complaints where human already drafts final response)</t>
  </si>
  <si>
    <t>10% = audit only (MI reporting where output is internal and low risk)</t>
  </si>
  <si>
    <t>Automatability Sensitivity: The Critical Variable</t>
  </si>
  <si>
    <t>Impact on annual hybrid savings if automatability assumptions are higher or lower than base case.</t>
  </si>
  <si>
    <t>This is where the real analytical risk lies, not in token pricing.</t>
  </si>
  <si>
    <t>Base Auto. %</t>
  </si>
  <si>
    <t>Annual Volume</t>
  </si>
  <si>
    <t>-20pp</t>
  </si>
  <si>
    <t>-15pp</t>
  </si>
  <si>
    <t>-10pp</t>
  </si>
  <si>
    <t>-5pp</t>
  </si>
  <si>
    <t>Base Case</t>
  </si>
  <si>
    <t>+5pp</t>
  </si>
  <si>
    <t>+10pp</t>
  </si>
  <si>
    <t>TOTAL</t>
  </si>
  <si>
    <t>Change vs Base Case (£)</t>
  </si>
  <si>
    <t>TOTAL CHANGE</t>
  </si>
  <si>
    <t>Error Cost Model: Process Specific Error Budgets</t>
  </si>
  <si>
    <t>What is the cost of AI errors by process? At what error rate does the economic case break?</t>
  </si>
  <si>
    <t>Yellow cells are editable assumptions. Refine with operational data from pilots.</t>
  </si>
  <si>
    <t>Estimated AI Error Rate</t>
  </si>
  <si>
    <t>Errors per Year</t>
  </si>
  <si>
    <t>Cost per Error: Median (£)</t>
  </si>
  <si>
    <t>Cost per Error: 95th pctile (£)</t>
  </si>
  <si>
    <t>Cost per Error: Tail (£)</t>
  </si>
  <si>
    <t>Annual Error Cost: Median (£)</t>
  </si>
  <si>
    <t>Annual Error Cost: 95th (£)</t>
  </si>
  <si>
    <t>Hybrid Annual Saving (£)</t>
  </si>
  <si>
    <t>Net Saving after Median Errors (£)</t>
  </si>
  <si>
    <t>Break Even Error Rate</t>
  </si>
  <si>
    <t>Interpretation:</t>
  </si>
  <si>
    <t>Break even error rate = the AI error rate at which the annual error cost equals the annual hybrid saving.</t>
  </si>
  <si>
    <t>If the actual error rate is below this threshold, the economic case remains positive after accounting for errors.</t>
  </si>
  <si>
    <t>Tail risk (column G) represents worst case scenarios: regulatory fines, FOS referrals, reputational damage.</t>
  </si>
  <si>
    <t>Error costs should be refined with operational data from pilots. These are working estimates.</t>
  </si>
  <si>
    <t>Implementation Costs and Payback Period</t>
  </si>
  <si>
    <t>Year one investment, ramp up, and steady state economics. Yellow cells are editable.</t>
  </si>
  <si>
    <t>Phase 1: Year One Investment</t>
  </si>
  <si>
    <t>Cost Category</t>
  </si>
  <si>
    <t>Low Estimate (£)</t>
  </si>
  <si>
    <t>Central Estimate (£)</t>
  </si>
  <si>
    <t>High Estimate (£)</t>
  </si>
  <si>
    <t>Proof of concept and pilot (2 processes)</t>
  </si>
  <si>
    <t>Agent development, testing, prompt engineering</t>
  </si>
  <si>
    <t>Orchestration platform build/procurement</t>
  </si>
  <si>
    <t>Workflow engine, API management, monitoring</t>
  </si>
  <si>
    <t>QA and audit infrastructure</t>
  </si>
  <si>
    <t>Logging, explainability tooling, compliance dashboards</t>
  </si>
  <si>
    <t>Security and data governance</t>
  </si>
  <si>
    <t>Data classification, access controls, penetration testing</t>
  </si>
  <si>
    <t>Change management and training</t>
  </si>
  <si>
    <t>Staff retraining, process redesign, comms</t>
  </si>
  <si>
    <t>Regulatory engagement and legal</t>
  </si>
  <si>
    <t>FCA Live Testing, legal review, compliance sign off</t>
  </si>
  <si>
    <t>Contingency (15%)</t>
  </si>
  <si>
    <t>Applied to total below</t>
  </si>
  <si>
    <t>TOTAL YEAR ONE INVESTMENT</t>
  </si>
  <si>
    <t>Phase 2: Annual Ongoing Costs (Steady State)</t>
  </si>
  <si>
    <t>Low (£)</t>
  </si>
  <si>
    <t>Central (£)</t>
  </si>
  <si>
    <t>High (£)</t>
  </si>
  <si>
    <t>Agent oversight team (2-3 FTEs)</t>
  </si>
  <si>
    <t>QA, monitoring, escalation handling</t>
  </si>
  <si>
    <t>Platform maintenance and licences</t>
  </si>
  <si>
    <t>Orchestration, logging, dashboards</t>
  </si>
  <si>
    <t>Model API costs (token consumption)</t>
  </si>
  <si>
    <t>Pulled from Volume Scaling sheet</t>
  </si>
  <si>
    <t>Prompt engineering and tuning</t>
  </si>
  <si>
    <t>Ongoing optimisation, new process onboarding</t>
  </si>
  <si>
    <t>Audit and compliance reporting</t>
  </si>
  <si>
    <t>Regulatory reporting, internal audit support</t>
  </si>
  <si>
    <t>TOTAL ANNUAL ONGOING</t>
  </si>
  <si>
    <t>Payback Analysis</t>
  </si>
  <si>
    <t>Metric</t>
  </si>
  <si>
    <t>Low</t>
  </si>
  <si>
    <t>Central</t>
  </si>
  <si>
    <t>High</t>
  </si>
  <si>
    <t>Annual gross hybrid saving</t>
  </si>
  <si>
    <t>From Volume Scaling sheet</t>
  </si>
  <si>
    <t>Less: annual ongoing costs</t>
  </si>
  <si>
    <t>Net annual benefit</t>
  </si>
  <si>
    <t>Year one investment</t>
  </si>
  <si>
    <t>Simple payback (months)</t>
  </si>
  <si>
    <t>Sensitivity Analysis: Token Price Crossover Points</t>
  </si>
  <si>
    <t>At what token price would the human become cheaper? (Output price as multiple of input price)</t>
  </si>
  <si>
    <t>Output/Input Price Ratio:</t>
  </si>
  <si>
    <t>Crossover Analysis: AI Solo vs Human</t>
  </si>
  <si>
    <t>Human Cost/Task (£)</t>
  </si>
  <si>
    <t>Total Input Tokens/Task</t>
  </si>
  <si>
    <t>Total Output Tokens/Task</t>
  </si>
  <si>
    <t>Crossover Input Price ($/MTok)</t>
  </si>
  <si>
    <t>Current Price ($/MTok)</t>
  </si>
  <si>
    <t>Current AI Cost (£)</t>
  </si>
  <si>
    <t>Headroom (x current price)</t>
  </si>
  <si>
    <t>Token Price Sensitivity: AI Token Cost per Task (£) at Varying Input Prices</t>
  </si>
  <si>
    <t>Input Price ($/MTok)</t>
  </si>
  <si>
    <t>$0.1</t>
  </si>
  <si>
    <t>$0.25</t>
  </si>
  <si>
    <t>$0.5</t>
  </si>
  <si>
    <t>$1.00</t>
  </si>
  <si>
    <t>$2.00</t>
  </si>
  <si>
    <t>$3.00</t>
  </si>
  <si>
    <t>$5.00</t>
  </si>
  <si>
    <t>$10.00</t>
  </si>
  <si>
    <t>$15.00</t>
  </si>
  <si>
    <t>$25.00</t>
  </si>
  <si>
    <t>$50.00</t>
  </si>
  <si>
    <t>Human Cost (£)</t>
  </si>
  <si>
    <t>Annual Volume Scaling: Cost at Scale</t>
  </si>
  <si>
    <t>Scales per-task economics to annual volumes. Yellow cells are editable.</t>
  </si>
  <si>
    <t>Est. Annual Volume</t>
  </si>
  <si>
    <t>Human FTEs Required</t>
  </si>
  <si>
    <t>Annual Human Cost (£)</t>
  </si>
  <si>
    <t>Annual AI Solo Cost (£)</t>
  </si>
  <si>
    <t>Annual Hybrid Cost (£)</t>
  </si>
  <si>
    <t>Annual Saving: AI Solo (£)</t>
  </si>
  <si>
    <t>Annual Saving: Hybrid (£)</t>
  </si>
  <si>
    <t>FTEs Freed: AI Solo</t>
  </si>
  <si>
    <t>FTEs Freed: Hybrid</t>
  </si>
  <si>
    <t>Token Price Trajectory and Future Projections</t>
  </si>
  <si>
    <t>Historical trend: roughly 40-50% cost reduction annually. What does this mean for the economics?</t>
  </si>
  <si>
    <t>Annual price decline rate:</t>
  </si>
  <si>
    <t>Today (Mar 2026)</t>
  </si>
  <si>
    <t>2027</t>
  </si>
  <si>
    <t>2028</t>
  </si>
  <si>
    <t>2029</t>
  </si>
  <si>
    <t>2030</t>
  </si>
  <si>
    <t>Sonnet-tier Input ($/MTok)</t>
  </si>
  <si>
    <t>Sonnet-tier Output ($/MTok)</t>
  </si>
  <si>
    <t>AI Token Cost per Task (£) Over Time</t>
  </si>
  <si>
    <t>Today</t>
  </si>
  <si>
    <t>Cost per Task by Model: Which Model for Which Process?</t>
  </si>
  <si>
    <t>Shows token cost only (not residual human cost). Greyed out where model capability is rated below deployment threshold.</t>
  </si>
  <si>
    <t>Gemini Flash</t>
  </si>
  <si>
    <t>Flash-Lite</t>
  </si>
  <si>
    <t>Mistral L3</t>
  </si>
  <si>
    <t>Gemini 3.1P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</si>
</sst>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\£#,##0"/>
    <numFmt numFmtId="166" formatCode="\£#,##0.00"/>
    <numFmt numFmtId="167" formatCode="0.0%"/>
    <numFmt numFmtId="168" formatCode="0.0"/>
    <numFmt numFmtId="169" formatCode="#,##0.0"/>
  </numFmts>
  <fonts count="15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i/>
      <sz val="10"/>
      <color rgb="FF666666"/>
      <name val="Arial"/>
      <family val="2"/>
    </font>
    <font>
      <b/>
      <sz val="12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C00000"/>
      <name val="Arial"/>
      <family val="2"/>
    </font>
    <font>
      <sz val="10"/>
      <color rgb="FF008000"/>
      <name val="Arial"/>
      <family val="2"/>
    </font>
    <font>
      <b/>
      <sz val="10"/>
      <color rgb="FFBF8F00"/>
      <name val="Arial"/>
      <family val="2"/>
    </font>
    <font>
      <sz val="10"/>
      <color rgb="FFC00000"/>
      <name val="Arial"/>
      <family val="2"/>
    </font>
    <font>
      <b/>
      <sz val="10"/>
      <color rgb="FF008000"/>
      <name val="Arial"/>
      <family val="2"/>
    </font>
    <font>
      <sz val="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404040"/>
      </patternFill>
    </fill>
    <fill>
      <patternFill patternType="solid">
        <fgColor rgb="FFF2F2F2"/>
        <bgColor rgb="FFFFF3E0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3E0"/>
        <bgColor rgb="FFF2F2F2"/>
      </patternFill>
    </fill>
    <fill>
      <patternFill patternType="solid">
        <fgColor rgb="FFFCE4EC"/>
        <bgColor rgb="FFF8D7DA"/>
      </patternFill>
    </fill>
    <fill>
      <patternFill patternType="solid">
        <fgColor rgb="FFF8D7DA"/>
        <bgColor rgb="FFFCE4EC"/>
      </patternFill>
    </fill>
    <fill>
      <patternFill patternType="solid">
        <fgColor rgb="FFD6E4F0"/>
        <bgColor rgb="FFE2EFDA"/>
      </patternFill>
    </fill>
    <fill>
      <patternFill patternType="solid">
        <fgColor rgb="FFC0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wrapText="1"/>
    </xf>
    <xf numFmtId="164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164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5" fillId="0" borderId="0" xfId="0" applyFont="1"/>
    <xf numFmtId="2" fontId="6" fillId="5" borderId="0" xfId="0" applyNumberFormat="1" applyFont="1" applyFill="1"/>
    <xf numFmtId="165" fontId="6" fillId="3" borderId="1" xfId="0" applyNumberFormat="1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165" fontId="5" fillId="3" borderId="1" xfId="0" applyNumberFormat="1" applyFont="1" applyFill="1" applyBorder="1" applyAlignment="1">
      <alignment horizontal="center" wrapText="1"/>
    </xf>
    <xf numFmtId="166" fontId="5" fillId="3" borderId="1" xfId="0" applyNumberFormat="1" applyFont="1" applyFill="1" applyBorder="1" applyAlignment="1">
      <alignment horizontal="center" wrapText="1"/>
    </xf>
    <xf numFmtId="165" fontId="6" fillId="4" borderId="1" xfId="0" applyNumberFormat="1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165" fontId="5" fillId="4" borderId="1" xfId="0" applyNumberFormat="1" applyFont="1" applyFill="1" applyBorder="1" applyAlignment="1">
      <alignment horizontal="center" wrapText="1"/>
    </xf>
    <xf numFmtId="166" fontId="5" fillId="4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/>
    <xf numFmtId="3" fontId="6" fillId="3" borderId="1" xfId="0" applyNumberFormat="1" applyFont="1" applyFill="1" applyBorder="1"/>
    <xf numFmtId="3" fontId="0" fillId="3" borderId="1" xfId="0" applyNumberFormat="1" applyFill="1" applyBorder="1"/>
    <xf numFmtId="0" fontId="6" fillId="3" borderId="1" xfId="0" applyFont="1" applyFill="1" applyBorder="1"/>
    <xf numFmtId="0" fontId="5" fillId="0" borderId="1" xfId="0" applyFont="1" applyBorder="1"/>
    <xf numFmtId="3" fontId="6" fillId="0" borderId="1" xfId="0" applyNumberFormat="1" applyFont="1" applyBorder="1"/>
    <xf numFmtId="3" fontId="0" fillId="0" borderId="1" xfId="0" applyNumberFormat="1" applyBorder="1"/>
    <xf numFmtId="0" fontId="6" fillId="0" borderId="1" xfId="0" applyFont="1" applyBorder="1"/>
    <xf numFmtId="0" fontId="7" fillId="3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6" fillId="5" borderId="1" xfId="0" applyFont="1" applyFill="1" applyBorder="1"/>
    <xf numFmtId="0" fontId="9" fillId="0" borderId="0" xfId="0" applyFont="1"/>
    <xf numFmtId="3" fontId="6" fillId="5" borderId="1" xfId="0" applyNumberFormat="1" applyFont="1" applyFill="1" applyBorder="1"/>
    <xf numFmtId="167" fontId="6" fillId="5" borderId="1" xfId="0" applyNumberFormat="1" applyFont="1" applyFill="1" applyBorder="1"/>
    <xf numFmtId="4" fontId="0" fillId="3" borderId="1" xfId="0" applyNumberFormat="1" applyFill="1" applyBorder="1"/>
    <xf numFmtId="0" fontId="2" fillId="3" borderId="1" xfId="0" applyFont="1" applyFill="1" applyBorder="1" applyAlignment="1">
      <alignment wrapText="1"/>
    </xf>
    <xf numFmtId="4" fontId="0" fillId="0" borderId="1" xfId="0" applyNumberFormat="1" applyBorder="1"/>
    <xf numFmtId="0" fontId="2" fillId="0" borderId="1" xfId="0" applyFont="1" applyBorder="1" applyAlignment="1">
      <alignment wrapText="1"/>
    </xf>
    <xf numFmtId="164" fontId="6" fillId="5" borderId="0" xfId="0" applyNumberFormat="1" applyFont="1" applyFill="1"/>
    <xf numFmtId="2" fontId="10" fillId="0" borderId="0" xfId="0" applyNumberFormat="1" applyFont="1"/>
    <xf numFmtId="3" fontId="10" fillId="3" borderId="1" xfId="0" applyNumberFormat="1" applyFont="1" applyFill="1" applyBorder="1"/>
    <xf numFmtId="166" fontId="5" fillId="3" borderId="1" xfId="0" applyNumberFormat="1" applyFont="1" applyFill="1" applyBorder="1"/>
    <xf numFmtId="167" fontId="10" fillId="3" borderId="1" xfId="0" applyNumberFormat="1" applyFont="1" applyFill="1" applyBorder="1"/>
    <xf numFmtId="166" fontId="7" fillId="3" borderId="1" xfId="0" applyNumberFormat="1" applyFont="1" applyFill="1" applyBorder="1"/>
    <xf numFmtId="167" fontId="0" fillId="3" borderId="1" xfId="0" applyNumberFormat="1" applyFill="1" applyBorder="1"/>
    <xf numFmtId="3" fontId="10" fillId="0" borderId="1" xfId="0" applyNumberFormat="1" applyFont="1" applyBorder="1"/>
    <xf numFmtId="166" fontId="5" fillId="0" borderId="1" xfId="0" applyNumberFormat="1" applyFont="1" applyBorder="1"/>
    <xf numFmtId="167" fontId="10" fillId="0" borderId="1" xfId="0" applyNumberFormat="1" applyFont="1" applyBorder="1"/>
    <xf numFmtId="166" fontId="7" fillId="0" borderId="1" xfId="0" applyNumberFormat="1" applyFont="1" applyBorder="1"/>
    <xf numFmtId="167" fontId="0" fillId="0" borderId="1" xfId="0" applyNumberFormat="1" applyBorder="1"/>
    <xf numFmtId="0" fontId="7" fillId="3" borderId="1" xfId="0" applyFont="1" applyFill="1" applyBorder="1" applyAlignment="1">
      <alignment horizontal="left" wrapText="1"/>
    </xf>
    <xf numFmtId="167" fontId="10" fillId="0" borderId="1" xfId="0" applyNumberFormat="1" applyFont="1" applyBorder="1" applyAlignment="1">
      <alignment horizontal="center" wrapText="1"/>
    </xf>
    <xf numFmtId="167" fontId="8" fillId="5" borderId="1" xfId="0" applyNumberFormat="1" applyFont="1" applyFill="1" applyBorder="1" applyAlignment="1">
      <alignment horizontal="center" wrapText="1"/>
    </xf>
    <xf numFmtId="3" fontId="6" fillId="5" borderId="1" xfId="0" applyNumberFormat="1" applyFont="1" applyFill="1" applyBorder="1" applyAlignment="1">
      <alignment horizontal="center" wrapText="1"/>
    </xf>
    <xf numFmtId="166" fontId="10" fillId="0" borderId="1" xfId="0" applyNumberFormat="1" applyFont="1" applyBorder="1" applyAlignment="1">
      <alignment horizontal="center" wrapText="1"/>
    </xf>
    <xf numFmtId="166" fontId="5" fillId="0" borderId="1" xfId="0" applyNumberFormat="1" applyFont="1" applyBorder="1" applyAlignment="1">
      <alignment horizontal="center" wrapText="1"/>
    </xf>
    <xf numFmtId="166" fontId="9" fillId="9" borderId="1" xfId="0" applyNumberFormat="1" applyFont="1" applyFill="1" applyBorder="1" applyAlignment="1">
      <alignment horizontal="center" wrapText="1"/>
    </xf>
    <xf numFmtId="167" fontId="9" fillId="9" borderId="1" xfId="0" applyNumberFormat="1" applyFont="1" applyFill="1" applyBorder="1" applyAlignment="1">
      <alignment horizontal="center" wrapText="1"/>
    </xf>
    <xf numFmtId="167" fontId="11" fillId="7" borderId="1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165" fontId="12" fillId="8" borderId="1" xfId="0" applyNumberFormat="1" applyFont="1" applyFill="1" applyBorder="1" applyAlignment="1">
      <alignment horizontal="center" wrapText="1"/>
    </xf>
    <xf numFmtId="165" fontId="12" fillId="7" borderId="1" xfId="0" applyNumberFormat="1" applyFont="1" applyFill="1" applyBorder="1" applyAlignment="1">
      <alignment horizontal="center" wrapText="1"/>
    </xf>
    <xf numFmtId="165" fontId="7" fillId="10" borderId="1" xfId="0" applyNumberFormat="1" applyFont="1" applyFill="1" applyBorder="1" applyAlignment="1">
      <alignment horizontal="center" wrapText="1"/>
    </xf>
    <xf numFmtId="165" fontId="5" fillId="6" borderId="1" xfId="0" applyNumberFormat="1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center" wrapText="1"/>
    </xf>
    <xf numFmtId="165" fontId="4" fillId="2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5" fontId="9" fillId="8" borderId="1" xfId="0" applyNumberFormat="1" applyFont="1" applyFill="1" applyBorder="1" applyAlignment="1">
      <alignment horizontal="center" wrapText="1"/>
    </xf>
    <xf numFmtId="165" fontId="9" fillId="7" borderId="1" xfId="0" applyNumberFormat="1" applyFont="1" applyFill="1" applyBorder="1" applyAlignment="1">
      <alignment horizontal="center" wrapText="1"/>
    </xf>
    <xf numFmtId="165" fontId="13" fillId="6" borderId="1" xfId="0" applyNumberFormat="1" applyFont="1" applyFill="1" applyBorder="1" applyAlignment="1">
      <alignment horizontal="center" wrapText="1"/>
    </xf>
    <xf numFmtId="3" fontId="10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165" fontId="6" fillId="5" borderId="1" xfId="0" applyNumberFormat="1" applyFont="1" applyFill="1" applyBorder="1" applyAlignment="1">
      <alignment horizontal="center" wrapText="1"/>
    </xf>
    <xf numFmtId="165" fontId="10" fillId="0" borderId="1" xfId="0" applyNumberFormat="1" applyFont="1" applyBorder="1" applyAlignment="1">
      <alignment horizontal="center" wrapText="1"/>
    </xf>
    <xf numFmtId="165" fontId="7" fillId="6" borderId="1" xfId="0" applyNumberFormat="1" applyFont="1" applyFill="1" applyBorder="1" applyAlignment="1">
      <alignment horizontal="center" wrapText="1"/>
    </xf>
    <xf numFmtId="167" fontId="7" fillId="10" borderId="1" xfId="0" applyNumberFormat="1" applyFont="1" applyFill="1" applyBorder="1" applyAlignment="1">
      <alignment horizontal="center" wrapText="1"/>
    </xf>
    <xf numFmtId="165" fontId="7" fillId="7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165" fontId="5" fillId="0" borderId="1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165" fontId="12" fillId="0" borderId="1" xfId="0" applyNumberFormat="1" applyFont="1" applyBorder="1" applyAlignment="1">
      <alignment horizontal="center" wrapText="1"/>
    </xf>
    <xf numFmtId="0" fontId="7" fillId="6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horizontal="left" wrapText="1"/>
    </xf>
    <xf numFmtId="168" fontId="7" fillId="10" borderId="1" xfId="0" applyNumberFormat="1" applyFont="1" applyFill="1" applyBorder="1" applyAlignment="1">
      <alignment horizontal="center" wrapText="1"/>
    </xf>
    <xf numFmtId="0" fontId="6" fillId="5" borderId="0" xfId="0" applyFont="1" applyFill="1"/>
    <xf numFmtId="0" fontId="10" fillId="3" borderId="1" xfId="0" applyFont="1" applyFill="1" applyBorder="1"/>
    <xf numFmtId="166" fontId="10" fillId="3" borderId="1" xfId="0" applyNumberFormat="1" applyFont="1" applyFill="1" applyBorder="1"/>
    <xf numFmtId="164" fontId="7" fillId="6" borderId="1" xfId="0" applyNumberFormat="1" applyFont="1" applyFill="1" applyBorder="1"/>
    <xf numFmtId="164" fontId="10" fillId="3" borderId="1" xfId="0" applyNumberFormat="1" applyFont="1" applyFill="1" applyBorder="1"/>
    <xf numFmtId="169" fontId="7" fillId="6" borderId="1" xfId="0" applyNumberFormat="1" applyFont="1" applyFill="1" applyBorder="1"/>
    <xf numFmtId="0" fontId="10" fillId="0" borderId="1" xfId="0" applyFont="1" applyBorder="1"/>
    <xf numFmtId="166" fontId="10" fillId="0" borderId="1" xfId="0" applyNumberFormat="1" applyFont="1" applyBorder="1"/>
    <xf numFmtId="164" fontId="10" fillId="0" borderId="1" xfId="0" applyNumberFormat="1" applyFont="1" applyBorder="1"/>
    <xf numFmtId="0" fontId="14" fillId="0" borderId="0" xfId="0" applyFont="1"/>
    <xf numFmtId="0" fontId="4" fillId="11" borderId="1" xfId="0" applyFont="1" applyFill="1" applyBorder="1" applyAlignment="1">
      <alignment horizontal="center" wrapText="1"/>
    </xf>
    <xf numFmtId="166" fontId="0" fillId="3" borderId="1" xfId="0" applyNumberFormat="1" applyFill="1" applyBorder="1"/>
    <xf numFmtId="166" fontId="9" fillId="8" borderId="1" xfId="0" applyNumberFormat="1" applyFont="1" applyFill="1" applyBorder="1"/>
    <xf numFmtId="166" fontId="0" fillId="0" borderId="1" xfId="0" applyNumberFormat="1" applyBorder="1"/>
    <xf numFmtId="165" fontId="0" fillId="3" borderId="1" xfId="0" applyNumberFormat="1" applyFill="1" applyBorder="1"/>
    <xf numFmtId="165" fontId="7" fillId="6" borderId="1" xfId="0" applyNumberFormat="1" applyFont="1" applyFill="1" applyBorder="1"/>
    <xf numFmtId="165" fontId="0" fillId="0" borderId="1" xfId="0" applyNumberFormat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165" fontId="4" fillId="2" borderId="1" xfId="0" applyNumberFormat="1" applyFont="1" applyFill="1" applyBorder="1"/>
    <xf numFmtId="4" fontId="4" fillId="2" borderId="1" xfId="0" applyNumberFormat="1" applyFont="1" applyFill="1" applyBorder="1"/>
    <xf numFmtId="167" fontId="6" fillId="5" borderId="0" xfId="0" applyNumberFormat="1" applyFont="1" applyFill="1"/>
    <xf numFmtId="164" fontId="6" fillId="0" borderId="1" xfId="0" applyNumberFormat="1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3E0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E2EF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H54"/>
  <sheetViews>
    <sheetView tabSelected="1" zoomScaleNormal="100" workbookViewId="0"/>
  </sheetViews>
  <sheetFormatPr baseColWidth="10" defaultColWidth="8.6640625" defaultRowHeight="15" customHeight="1"/>
  <cols>
    <col min="1" max="1" width="48" customWidth="1"/>
    <col min="2" max="2" width="20" customWidth="1"/>
    <col min="3" max="4" width="22" customWidth="1"/>
    <col min="5" max="6" width="20" customWidth="1"/>
    <col min="7" max="7" width="24" customWidth="1"/>
    <col min="8" max="8" width="48" customWidth="1"/>
  </cols>
  <sheetData>
    <row r="1" spans="1:8" ht="17.25" customHeight="1">
      <c r="A1" s="1" t="s">
        <v>0</v>
      </c>
    </row>
    <row r="2" spans="1:8" ht="15" customHeight="1">
      <c r="A2" s="2" t="s">
        <v>1</v>
      </c>
    </row>
    <row r="4" spans="1:8" ht="15" customHeight="1">
      <c r="A4" s="3" t="s">
        <v>2</v>
      </c>
    </row>
    <row r="5" spans="1:8" ht="15" customHeight="1">
      <c r="A5" s="2" t="s">
        <v>3</v>
      </c>
    </row>
    <row r="7" spans="1:8" ht="1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</row>
    <row r="8" spans="1:8" ht="15" customHeight="1">
      <c r="A8" s="5" t="s">
        <v>12</v>
      </c>
      <c r="B8" s="6" t="s">
        <v>13</v>
      </c>
      <c r="C8" s="6" t="s">
        <v>14</v>
      </c>
      <c r="D8" s="7">
        <v>5</v>
      </c>
      <c r="E8" s="7">
        <v>25</v>
      </c>
      <c r="F8" s="6" t="s">
        <v>15</v>
      </c>
      <c r="G8" s="8">
        <v>5</v>
      </c>
      <c r="H8" s="6" t="s">
        <v>16</v>
      </c>
    </row>
    <row r="9" spans="1:8" ht="15" customHeight="1">
      <c r="A9" s="9" t="s">
        <v>12</v>
      </c>
      <c r="B9" s="10" t="s">
        <v>17</v>
      </c>
      <c r="C9" s="10" t="s">
        <v>18</v>
      </c>
      <c r="D9" s="11">
        <v>3</v>
      </c>
      <c r="E9" s="11">
        <v>15</v>
      </c>
      <c r="F9" s="10" t="s">
        <v>15</v>
      </c>
      <c r="G9" s="12">
        <v>4</v>
      </c>
      <c r="H9" s="10" t="s">
        <v>19</v>
      </c>
    </row>
    <row r="10" spans="1:8" ht="15" customHeight="1">
      <c r="A10" s="5" t="s">
        <v>12</v>
      </c>
      <c r="B10" s="6" t="s">
        <v>20</v>
      </c>
      <c r="C10" s="6" t="s">
        <v>21</v>
      </c>
      <c r="D10" s="7">
        <v>1</v>
      </c>
      <c r="E10" s="7">
        <v>5</v>
      </c>
      <c r="F10" s="6" t="s">
        <v>22</v>
      </c>
      <c r="G10" s="8">
        <v>3</v>
      </c>
      <c r="H10" s="6" t="s">
        <v>23</v>
      </c>
    </row>
    <row r="11" spans="1:8" ht="15" customHeight="1">
      <c r="A11" s="9" t="s">
        <v>24</v>
      </c>
      <c r="B11" s="10" t="s">
        <v>25</v>
      </c>
      <c r="C11" s="10" t="s">
        <v>14</v>
      </c>
      <c r="D11" s="11">
        <v>2.5</v>
      </c>
      <c r="E11" s="11">
        <v>15</v>
      </c>
      <c r="F11" s="10" t="s">
        <v>15</v>
      </c>
      <c r="G11" s="12">
        <v>5</v>
      </c>
      <c r="H11" s="10" t="s">
        <v>26</v>
      </c>
    </row>
    <row r="12" spans="1:8" ht="15" customHeight="1">
      <c r="A12" s="5" t="s">
        <v>24</v>
      </c>
      <c r="B12" s="6" t="s">
        <v>27</v>
      </c>
      <c r="C12" s="6" t="s">
        <v>28</v>
      </c>
      <c r="D12" s="7">
        <v>2</v>
      </c>
      <c r="E12" s="7">
        <v>8</v>
      </c>
      <c r="F12" s="6" t="s">
        <v>22</v>
      </c>
      <c r="G12" s="8">
        <v>4</v>
      </c>
      <c r="H12" s="6" t="s">
        <v>29</v>
      </c>
    </row>
    <row r="13" spans="1:8" ht="15" customHeight="1">
      <c r="A13" s="9" t="s">
        <v>24</v>
      </c>
      <c r="B13" s="10" t="s">
        <v>30</v>
      </c>
      <c r="C13" s="10" t="s">
        <v>31</v>
      </c>
      <c r="D13" s="11">
        <v>1.1000000000000001</v>
      </c>
      <c r="E13" s="11">
        <v>4.4000000000000004</v>
      </c>
      <c r="F13" s="10" t="s">
        <v>22</v>
      </c>
      <c r="G13" s="12">
        <v>3</v>
      </c>
      <c r="H13" s="10" t="s">
        <v>32</v>
      </c>
    </row>
    <row r="14" spans="1:8" ht="15" customHeight="1">
      <c r="A14" s="5" t="s">
        <v>24</v>
      </c>
      <c r="B14" s="6" t="s">
        <v>33</v>
      </c>
      <c r="C14" s="6" t="s">
        <v>34</v>
      </c>
      <c r="D14" s="7">
        <v>2.5</v>
      </c>
      <c r="E14" s="7">
        <v>10</v>
      </c>
      <c r="F14" s="6" t="s">
        <v>35</v>
      </c>
      <c r="G14" s="8">
        <v>4</v>
      </c>
      <c r="H14" s="6" t="s">
        <v>36</v>
      </c>
    </row>
    <row r="15" spans="1:8" ht="15" customHeight="1">
      <c r="A15" s="9" t="s">
        <v>37</v>
      </c>
      <c r="B15" s="10" t="s">
        <v>38</v>
      </c>
      <c r="C15" s="10" t="s">
        <v>14</v>
      </c>
      <c r="D15" s="11">
        <v>2</v>
      </c>
      <c r="E15" s="11">
        <v>12</v>
      </c>
      <c r="F15" s="10" t="s">
        <v>15</v>
      </c>
      <c r="G15" s="12">
        <v>5</v>
      </c>
      <c r="H15" s="10" t="s">
        <v>39</v>
      </c>
    </row>
    <row r="16" spans="1:8" ht="15" customHeight="1">
      <c r="A16" s="5" t="s">
        <v>37</v>
      </c>
      <c r="B16" s="6" t="s">
        <v>40</v>
      </c>
      <c r="C16" s="6" t="s">
        <v>41</v>
      </c>
      <c r="D16" s="7">
        <v>1.25</v>
      </c>
      <c r="E16" s="7">
        <v>10</v>
      </c>
      <c r="F16" s="6" t="s">
        <v>15</v>
      </c>
      <c r="G16" s="8">
        <v>4</v>
      </c>
      <c r="H16" s="6" t="s">
        <v>42</v>
      </c>
    </row>
    <row r="17" spans="1:8" ht="15" customHeight="1">
      <c r="A17" s="9" t="s">
        <v>37</v>
      </c>
      <c r="B17" s="10" t="s">
        <v>43</v>
      </c>
      <c r="C17" s="10" t="s">
        <v>21</v>
      </c>
      <c r="D17" s="11">
        <v>0.3</v>
      </c>
      <c r="E17" s="11">
        <v>2.5</v>
      </c>
      <c r="F17" s="10" t="s">
        <v>15</v>
      </c>
      <c r="G17" s="12">
        <v>3</v>
      </c>
      <c r="H17" s="10" t="s">
        <v>44</v>
      </c>
    </row>
    <row r="18" spans="1:8" ht="15" customHeight="1">
      <c r="A18" s="5" t="s">
        <v>37</v>
      </c>
      <c r="B18" s="6" t="s">
        <v>45</v>
      </c>
      <c r="C18" s="6" t="s">
        <v>46</v>
      </c>
      <c r="D18" s="7">
        <v>0.1</v>
      </c>
      <c r="E18" s="7">
        <v>0.4</v>
      </c>
      <c r="F18" s="6" t="s">
        <v>15</v>
      </c>
      <c r="G18" s="8">
        <v>2</v>
      </c>
      <c r="H18" s="6" t="s">
        <v>47</v>
      </c>
    </row>
    <row r="19" spans="1:8" ht="15" customHeight="1">
      <c r="A19" s="9" t="s">
        <v>48</v>
      </c>
      <c r="B19" s="10" t="s">
        <v>49</v>
      </c>
      <c r="C19" s="10" t="s">
        <v>14</v>
      </c>
      <c r="D19" s="11">
        <v>3</v>
      </c>
      <c r="E19" s="11">
        <v>15</v>
      </c>
      <c r="F19" s="10" t="s">
        <v>50</v>
      </c>
      <c r="G19" s="12">
        <v>4</v>
      </c>
      <c r="H19" s="10" t="s">
        <v>51</v>
      </c>
    </row>
    <row r="20" spans="1:8" ht="15" customHeight="1">
      <c r="A20" s="5" t="s">
        <v>48</v>
      </c>
      <c r="B20" s="6" t="s">
        <v>52</v>
      </c>
      <c r="C20" s="6" t="s">
        <v>21</v>
      </c>
      <c r="D20" s="7">
        <v>0.2</v>
      </c>
      <c r="E20" s="7">
        <v>0.5</v>
      </c>
      <c r="F20" s="6" t="s">
        <v>35</v>
      </c>
      <c r="G20" s="8">
        <v>2</v>
      </c>
      <c r="H20" s="6" t="s">
        <v>53</v>
      </c>
    </row>
    <row r="21" spans="1:8" ht="15" customHeight="1">
      <c r="A21" s="9" t="s">
        <v>54</v>
      </c>
      <c r="B21" s="10" t="s">
        <v>55</v>
      </c>
      <c r="C21" s="10" t="s">
        <v>56</v>
      </c>
      <c r="D21" s="11">
        <v>0.28000000000000003</v>
      </c>
      <c r="E21" s="11">
        <v>0.42</v>
      </c>
      <c r="F21" s="10" t="s">
        <v>35</v>
      </c>
      <c r="G21" s="12">
        <v>4</v>
      </c>
      <c r="H21" s="10" t="s">
        <v>57</v>
      </c>
    </row>
    <row r="22" spans="1:8" ht="15" customHeight="1">
      <c r="A22" s="5" t="s">
        <v>54</v>
      </c>
      <c r="B22" s="6" t="s">
        <v>58</v>
      </c>
      <c r="C22" s="6" t="s">
        <v>28</v>
      </c>
      <c r="D22" s="7">
        <v>0.55000000000000004</v>
      </c>
      <c r="E22" s="7">
        <v>2.19</v>
      </c>
      <c r="F22" s="6" t="s">
        <v>35</v>
      </c>
      <c r="G22" s="8">
        <v>4</v>
      </c>
      <c r="H22" s="6" t="s">
        <v>59</v>
      </c>
    </row>
    <row r="23" spans="1:8" ht="15" customHeight="1">
      <c r="A23" s="9" t="s">
        <v>60</v>
      </c>
      <c r="B23" s="10" t="s">
        <v>61</v>
      </c>
      <c r="C23" s="10" t="s">
        <v>34</v>
      </c>
      <c r="D23" s="11">
        <v>0.5</v>
      </c>
      <c r="E23" s="11">
        <v>1.5</v>
      </c>
      <c r="F23" s="10" t="s">
        <v>35</v>
      </c>
      <c r="G23" s="12">
        <v>3</v>
      </c>
      <c r="H23" s="10" t="s">
        <v>62</v>
      </c>
    </row>
    <row r="24" spans="1:8" ht="15" customHeight="1">
      <c r="A24" s="5" t="s">
        <v>60</v>
      </c>
      <c r="B24" s="6" t="s">
        <v>63</v>
      </c>
      <c r="C24" s="6" t="s">
        <v>64</v>
      </c>
      <c r="D24" s="7">
        <v>0.2</v>
      </c>
      <c r="E24" s="7">
        <v>0.6</v>
      </c>
      <c r="F24" s="6" t="s">
        <v>50</v>
      </c>
      <c r="G24" s="8">
        <v>3</v>
      </c>
      <c r="H24" s="6" t="s">
        <v>65</v>
      </c>
    </row>
    <row r="26" spans="1:8" ht="15" customHeight="1">
      <c r="A26" s="3" t="s">
        <v>66</v>
      </c>
    </row>
    <row r="27" spans="1:8" ht="15" customHeight="1">
      <c r="A27" s="13" t="s">
        <v>67</v>
      </c>
      <c r="B27" s="14">
        <v>1.29</v>
      </c>
      <c r="C27" s="2" t="s">
        <v>68</v>
      </c>
    </row>
    <row r="29" spans="1:8" ht="15" customHeight="1">
      <c r="A29" s="3" t="s">
        <v>69</v>
      </c>
    </row>
    <row r="30" spans="1:8" ht="15" customHeight="1">
      <c r="A30" s="2" t="s">
        <v>70</v>
      </c>
    </row>
    <row r="32" spans="1:8" ht="15" customHeight="1">
      <c r="A32" s="4" t="s">
        <v>71</v>
      </c>
      <c r="B32" s="4" t="s">
        <v>72</v>
      </c>
      <c r="C32" s="4" t="s">
        <v>73</v>
      </c>
      <c r="D32" s="4" t="s">
        <v>74</v>
      </c>
      <c r="E32" s="4" t="s">
        <v>75</v>
      </c>
      <c r="F32" s="4" t="s">
        <v>76</v>
      </c>
      <c r="G32" s="4" t="s">
        <v>11</v>
      </c>
    </row>
    <row r="33" spans="1:7" ht="34.5" customHeight="1">
      <c r="A33" s="5" t="s">
        <v>77</v>
      </c>
      <c r="B33" s="15">
        <v>32000</v>
      </c>
      <c r="C33" s="16">
        <v>1.85</v>
      </c>
      <c r="D33" s="17">
        <f t="shared" ref="D33:D38" si="0">B33*C33</f>
        <v>59200</v>
      </c>
      <c r="E33" s="18">
        <f t="shared" ref="E33:E38" si="1">D33/1820</f>
        <v>32.527472527472526</v>
      </c>
      <c r="F33" s="18">
        <f t="shared" ref="F33:F38" si="2">E33/60</f>
        <v>0.54212454212454209</v>
      </c>
      <c r="G33" s="6" t="s">
        <v>78</v>
      </c>
    </row>
    <row r="34" spans="1:7" ht="23.25" customHeight="1">
      <c r="A34" s="9" t="s">
        <v>79</v>
      </c>
      <c r="B34" s="19">
        <v>48000</v>
      </c>
      <c r="C34" s="20">
        <v>1.85</v>
      </c>
      <c r="D34" s="21">
        <f t="shared" si="0"/>
        <v>88800</v>
      </c>
      <c r="E34" s="22">
        <f t="shared" si="1"/>
        <v>48.791208791208788</v>
      </c>
      <c r="F34" s="22">
        <f t="shared" si="2"/>
        <v>0.81318681318681318</v>
      </c>
      <c r="G34" s="10" t="s">
        <v>80</v>
      </c>
    </row>
    <row r="35" spans="1:7" ht="23.25" customHeight="1">
      <c r="A35" s="5" t="s">
        <v>81</v>
      </c>
      <c r="B35" s="15">
        <v>55000</v>
      </c>
      <c r="C35" s="16">
        <v>1.9</v>
      </c>
      <c r="D35" s="17">
        <f t="shared" si="0"/>
        <v>104500</v>
      </c>
      <c r="E35" s="18">
        <f t="shared" si="1"/>
        <v>57.417582417582416</v>
      </c>
      <c r="F35" s="18">
        <f t="shared" si="2"/>
        <v>0.95695970695970689</v>
      </c>
      <c r="G35" s="6" t="s">
        <v>82</v>
      </c>
    </row>
    <row r="36" spans="1:7" ht="23.25" customHeight="1">
      <c r="A36" s="9" t="s">
        <v>83</v>
      </c>
      <c r="B36" s="19">
        <v>62000</v>
      </c>
      <c r="C36" s="20">
        <v>1.85</v>
      </c>
      <c r="D36" s="21">
        <f t="shared" si="0"/>
        <v>114700</v>
      </c>
      <c r="E36" s="22">
        <f t="shared" si="1"/>
        <v>63.021978021978022</v>
      </c>
      <c r="F36" s="22">
        <f t="shared" si="2"/>
        <v>1.0503663003663004</v>
      </c>
      <c r="G36" s="10" t="s">
        <v>84</v>
      </c>
    </row>
    <row r="37" spans="1:7" ht="23.25" customHeight="1">
      <c r="A37" s="5" t="s">
        <v>85</v>
      </c>
      <c r="B37" s="15">
        <v>85000</v>
      </c>
      <c r="C37" s="16">
        <v>1.9</v>
      </c>
      <c r="D37" s="17">
        <f t="shared" si="0"/>
        <v>161500</v>
      </c>
      <c r="E37" s="18">
        <f t="shared" si="1"/>
        <v>88.736263736263737</v>
      </c>
      <c r="F37" s="18">
        <f t="shared" si="2"/>
        <v>1.478937728937729</v>
      </c>
      <c r="G37" s="6" t="s">
        <v>86</v>
      </c>
    </row>
    <row r="38" spans="1:7" ht="23.25" customHeight="1">
      <c r="A38" s="9" t="s">
        <v>87</v>
      </c>
      <c r="B38" s="19">
        <v>120000</v>
      </c>
      <c r="C38" s="20">
        <v>1.95</v>
      </c>
      <c r="D38" s="21">
        <f t="shared" si="0"/>
        <v>234000</v>
      </c>
      <c r="E38" s="22">
        <f t="shared" si="1"/>
        <v>128.57142857142858</v>
      </c>
      <c r="F38" s="22">
        <f t="shared" si="2"/>
        <v>2.1428571428571432</v>
      </c>
      <c r="G38" s="10" t="s">
        <v>88</v>
      </c>
    </row>
    <row r="40" spans="1:7" ht="15" customHeight="1">
      <c r="A40" s="2" t="s">
        <v>89</v>
      </c>
    </row>
    <row r="41" spans="1:7" ht="15" customHeight="1">
      <c r="A41" s="2" t="s">
        <v>90</v>
      </c>
    </row>
    <row r="43" spans="1:7" ht="15" customHeight="1">
      <c r="A43" s="3" t="s">
        <v>91</v>
      </c>
    </row>
    <row r="44" spans="1:7" ht="15" customHeight="1">
      <c r="A44" s="2" t="s">
        <v>92</v>
      </c>
    </row>
    <row r="46" spans="1:7" ht="15" customHeight="1">
      <c r="A46" s="4" t="s">
        <v>93</v>
      </c>
      <c r="B46" s="4" t="s">
        <v>94</v>
      </c>
      <c r="C46" s="4" t="s">
        <v>95</v>
      </c>
      <c r="D46" s="4" t="s">
        <v>96</v>
      </c>
      <c r="E46" s="4" t="s">
        <v>97</v>
      </c>
      <c r="F46" s="4" t="s">
        <v>98</v>
      </c>
    </row>
    <row r="47" spans="1:7" ht="15" customHeight="1">
      <c r="A47" s="23" t="s">
        <v>99</v>
      </c>
      <c r="B47" s="24">
        <v>2000</v>
      </c>
      <c r="C47" s="24">
        <v>500</v>
      </c>
      <c r="D47" s="25">
        <f t="shared" ref="D47:D54" si="3">B47+C47</f>
        <v>2500</v>
      </c>
      <c r="E47" s="26">
        <v>1</v>
      </c>
      <c r="F47" s="25">
        <f t="shared" ref="F47:F54" si="4">D47*E47</f>
        <v>2500</v>
      </c>
    </row>
    <row r="48" spans="1:7" ht="15" customHeight="1">
      <c r="A48" s="27" t="s">
        <v>100</v>
      </c>
      <c r="B48" s="28">
        <v>4000</v>
      </c>
      <c r="C48" s="28">
        <v>1500</v>
      </c>
      <c r="D48" s="29">
        <f t="shared" si="3"/>
        <v>5500</v>
      </c>
      <c r="E48" s="30">
        <v>1</v>
      </c>
      <c r="F48" s="29">
        <f t="shared" si="4"/>
        <v>5500</v>
      </c>
    </row>
    <row r="49" spans="1:6" ht="15" customHeight="1">
      <c r="A49" s="23" t="s">
        <v>101</v>
      </c>
      <c r="B49" s="24">
        <v>8000</v>
      </c>
      <c r="C49" s="24">
        <v>3000</v>
      </c>
      <c r="D49" s="25">
        <f t="shared" si="3"/>
        <v>11000</v>
      </c>
      <c r="E49" s="26">
        <v>3</v>
      </c>
      <c r="F49" s="25">
        <f t="shared" si="4"/>
        <v>33000</v>
      </c>
    </row>
    <row r="50" spans="1:6" ht="15" customHeight="1">
      <c r="A50" s="27" t="s">
        <v>102</v>
      </c>
      <c r="B50" s="28">
        <v>6000</v>
      </c>
      <c r="C50" s="28">
        <v>2500</v>
      </c>
      <c r="D50" s="29">
        <f t="shared" si="3"/>
        <v>8500</v>
      </c>
      <c r="E50" s="30">
        <v>2</v>
      </c>
      <c r="F50" s="29">
        <f t="shared" si="4"/>
        <v>17000</v>
      </c>
    </row>
    <row r="51" spans="1:6" ht="15" customHeight="1">
      <c r="A51" s="23" t="s">
        <v>103</v>
      </c>
      <c r="B51" s="24">
        <v>3000</v>
      </c>
      <c r="C51" s="24">
        <v>1000</v>
      </c>
      <c r="D51" s="25">
        <f t="shared" si="3"/>
        <v>4000</v>
      </c>
      <c r="E51" s="26">
        <v>2</v>
      </c>
      <c r="F51" s="25">
        <f t="shared" si="4"/>
        <v>8000</v>
      </c>
    </row>
    <row r="52" spans="1:6" ht="15" customHeight="1">
      <c r="A52" s="27" t="s">
        <v>104</v>
      </c>
      <c r="B52" s="28">
        <v>5000</v>
      </c>
      <c r="C52" s="28">
        <v>3000</v>
      </c>
      <c r="D52" s="29">
        <f t="shared" si="3"/>
        <v>8000</v>
      </c>
      <c r="E52" s="30">
        <v>4</v>
      </c>
      <c r="F52" s="29">
        <f t="shared" si="4"/>
        <v>32000</v>
      </c>
    </row>
    <row r="53" spans="1:6" ht="15" customHeight="1">
      <c r="A53" s="23" t="s">
        <v>105</v>
      </c>
      <c r="B53" s="24">
        <v>10000</v>
      </c>
      <c r="C53" s="24">
        <v>4000</v>
      </c>
      <c r="D53" s="25">
        <f t="shared" si="3"/>
        <v>14000</v>
      </c>
      <c r="E53" s="26">
        <v>5</v>
      </c>
      <c r="F53" s="25">
        <f t="shared" si="4"/>
        <v>70000</v>
      </c>
    </row>
    <row r="54" spans="1:6" ht="15" customHeight="1">
      <c r="A54" s="27" t="s">
        <v>106</v>
      </c>
      <c r="B54" s="28">
        <v>15000</v>
      </c>
      <c r="C54" s="28">
        <v>5000</v>
      </c>
      <c r="D54" s="29">
        <f t="shared" si="3"/>
        <v>20000</v>
      </c>
      <c r="E54" s="30">
        <v>3</v>
      </c>
      <c r="F54" s="29">
        <f t="shared" si="4"/>
        <v>60000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24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13" width="15" customWidth="1"/>
    <col min="14" max="14" width="60" customWidth="1"/>
  </cols>
  <sheetData>
    <row r="1" spans="1:13" ht="17.25" customHeight="1">
      <c r="A1" s="1" t="s">
        <v>107</v>
      </c>
    </row>
    <row r="2" spans="1:13" ht="15" customHeight="1">
      <c r="A2" s="2" t="s">
        <v>108</v>
      </c>
    </row>
    <row r="3" spans="1:13" ht="15" customHeight="1">
      <c r="A3" s="2" t="s">
        <v>109</v>
      </c>
    </row>
    <row r="5" spans="1:13" ht="15" customHeight="1">
      <c r="A5" s="4" t="s">
        <v>110</v>
      </c>
      <c r="B5" s="4" t="s">
        <v>111</v>
      </c>
      <c r="C5" s="4" t="s">
        <v>112</v>
      </c>
      <c r="D5" s="4" t="s">
        <v>113</v>
      </c>
      <c r="E5" s="4" t="s">
        <v>25</v>
      </c>
      <c r="F5" s="4" t="s">
        <v>27</v>
      </c>
      <c r="G5" s="4" t="s">
        <v>30</v>
      </c>
      <c r="H5" s="4" t="s">
        <v>38</v>
      </c>
      <c r="I5" s="4" t="s">
        <v>43</v>
      </c>
      <c r="J5" s="4" t="s">
        <v>49</v>
      </c>
      <c r="K5" s="4" t="s">
        <v>55</v>
      </c>
      <c r="L5" s="4" t="s">
        <v>58</v>
      </c>
      <c r="M5" s="4" t="s">
        <v>61</v>
      </c>
    </row>
    <row r="6" spans="1:13" ht="15" customHeight="1">
      <c r="A6" s="31" t="s">
        <v>114</v>
      </c>
      <c r="B6" s="32">
        <v>5</v>
      </c>
      <c r="C6" s="32">
        <v>4</v>
      </c>
      <c r="D6" s="33">
        <v>3</v>
      </c>
      <c r="E6" s="32">
        <v>5</v>
      </c>
      <c r="F6" s="32">
        <v>4</v>
      </c>
      <c r="G6" s="33">
        <v>3</v>
      </c>
      <c r="H6" s="32">
        <v>5</v>
      </c>
      <c r="I6" s="34">
        <v>2</v>
      </c>
      <c r="J6" s="32">
        <v>4</v>
      </c>
      <c r="K6" s="32">
        <v>4</v>
      </c>
      <c r="L6" s="32">
        <v>4</v>
      </c>
      <c r="M6" s="33">
        <v>3</v>
      </c>
    </row>
    <row r="7" spans="1:13" ht="15" customHeight="1">
      <c r="A7" s="35" t="s">
        <v>115</v>
      </c>
      <c r="B7" s="32">
        <v>5</v>
      </c>
      <c r="C7" s="32">
        <v>4</v>
      </c>
      <c r="D7" s="33">
        <v>3</v>
      </c>
      <c r="E7" s="32">
        <v>5</v>
      </c>
      <c r="F7" s="32">
        <v>5</v>
      </c>
      <c r="G7" s="32">
        <v>4</v>
      </c>
      <c r="H7" s="32">
        <v>4</v>
      </c>
      <c r="I7" s="33">
        <v>3</v>
      </c>
      <c r="J7" s="32">
        <v>4</v>
      </c>
      <c r="K7" s="32">
        <v>4</v>
      </c>
      <c r="L7" s="32">
        <v>4</v>
      </c>
      <c r="M7" s="33">
        <v>3</v>
      </c>
    </row>
    <row r="8" spans="1:13" ht="15" customHeight="1">
      <c r="A8" s="31" t="s">
        <v>116</v>
      </c>
      <c r="B8" s="32">
        <v>5</v>
      </c>
      <c r="C8" s="32">
        <v>4</v>
      </c>
      <c r="D8" s="34">
        <v>2</v>
      </c>
      <c r="E8" s="32">
        <v>5</v>
      </c>
      <c r="F8" s="32">
        <v>4</v>
      </c>
      <c r="G8" s="34">
        <v>2</v>
      </c>
      <c r="H8" s="32">
        <v>5</v>
      </c>
      <c r="I8" s="34">
        <v>1</v>
      </c>
      <c r="J8" s="32">
        <v>4</v>
      </c>
      <c r="K8" s="33">
        <v>3</v>
      </c>
      <c r="L8" s="32">
        <v>4</v>
      </c>
      <c r="M8" s="34">
        <v>2</v>
      </c>
    </row>
    <row r="9" spans="1:13" ht="15" customHeight="1">
      <c r="A9" s="35" t="s">
        <v>117</v>
      </c>
      <c r="B9" s="32">
        <v>5</v>
      </c>
      <c r="C9" s="32">
        <v>5</v>
      </c>
      <c r="D9" s="33">
        <v>3</v>
      </c>
      <c r="E9" s="32">
        <v>5</v>
      </c>
      <c r="F9" s="33">
        <v>3</v>
      </c>
      <c r="G9" s="34">
        <v>2</v>
      </c>
      <c r="H9" s="32">
        <v>4</v>
      </c>
      <c r="I9" s="34">
        <v>2</v>
      </c>
      <c r="J9" s="32">
        <v>4</v>
      </c>
      <c r="K9" s="33">
        <v>3</v>
      </c>
      <c r="L9" s="33">
        <v>3</v>
      </c>
      <c r="M9" s="33">
        <v>3</v>
      </c>
    </row>
    <row r="10" spans="1:13" ht="15" customHeight="1">
      <c r="A10" s="31" t="s">
        <v>118</v>
      </c>
      <c r="B10" s="32">
        <v>5</v>
      </c>
      <c r="C10" s="32">
        <v>4</v>
      </c>
      <c r="D10" s="34">
        <v>2</v>
      </c>
      <c r="E10" s="32">
        <v>5</v>
      </c>
      <c r="F10" s="32">
        <v>5</v>
      </c>
      <c r="G10" s="34">
        <v>2</v>
      </c>
      <c r="H10" s="32">
        <v>5</v>
      </c>
      <c r="I10" s="34">
        <v>1</v>
      </c>
      <c r="J10" s="32">
        <v>4</v>
      </c>
      <c r="K10" s="33">
        <v>3</v>
      </c>
      <c r="L10" s="32">
        <v>5</v>
      </c>
      <c r="M10" s="34">
        <v>2</v>
      </c>
    </row>
    <row r="11" spans="1:13" ht="15" customHeight="1">
      <c r="A11" s="35" t="s">
        <v>119</v>
      </c>
      <c r="B11" s="32">
        <v>4</v>
      </c>
      <c r="C11" s="32">
        <v>4</v>
      </c>
      <c r="D11" s="33">
        <v>3</v>
      </c>
      <c r="E11" s="32">
        <v>4</v>
      </c>
      <c r="F11" s="32">
        <v>4</v>
      </c>
      <c r="G11" s="33">
        <v>3</v>
      </c>
      <c r="H11" s="32">
        <v>4</v>
      </c>
      <c r="I11" s="33">
        <v>3</v>
      </c>
      <c r="J11" s="33">
        <v>3</v>
      </c>
      <c r="K11" s="32">
        <v>4</v>
      </c>
      <c r="L11" s="33">
        <v>3</v>
      </c>
      <c r="M11" s="33">
        <v>3</v>
      </c>
    </row>
    <row r="13" spans="1:13" ht="15" customHeight="1">
      <c r="A13" s="36" t="s">
        <v>120</v>
      </c>
    </row>
    <row r="14" spans="1:13" ht="15" customHeight="1">
      <c r="A14" s="13" t="s">
        <v>121</v>
      </c>
    </row>
    <row r="15" spans="1:13" ht="15" customHeight="1">
      <c r="A15" s="13" t="s">
        <v>122</v>
      </c>
    </row>
    <row r="16" spans="1:13" ht="15" customHeight="1">
      <c r="A16" s="13" t="s">
        <v>123</v>
      </c>
    </row>
    <row r="17" spans="1:3" ht="15" customHeight="1">
      <c r="A17" s="13" t="s">
        <v>124</v>
      </c>
    </row>
    <row r="18" spans="1:3" ht="15" customHeight="1">
      <c r="A18" s="13" t="s">
        <v>125</v>
      </c>
    </row>
    <row r="20" spans="1:3" ht="15" customHeight="1">
      <c r="A20" s="3" t="s">
        <v>126</v>
      </c>
    </row>
    <row r="21" spans="1:3" ht="15" customHeight="1">
      <c r="A21" s="2" t="s">
        <v>127</v>
      </c>
    </row>
    <row r="22" spans="1:3" ht="23.25" customHeight="1">
      <c r="A22" s="4" t="s">
        <v>128</v>
      </c>
      <c r="B22" s="4" t="s">
        <v>129</v>
      </c>
      <c r="C22" s="4" t="s">
        <v>11</v>
      </c>
    </row>
    <row r="23" spans="1:3" ht="15" customHeight="1">
      <c r="A23" s="27" t="s">
        <v>130</v>
      </c>
      <c r="B23" s="37">
        <v>4</v>
      </c>
      <c r="C23" s="27" t="s">
        <v>131</v>
      </c>
    </row>
    <row r="24" spans="1:3" ht="15" customHeight="1">
      <c r="A24" s="27" t="s">
        <v>132</v>
      </c>
      <c r="B24" s="37">
        <v>3</v>
      </c>
      <c r="C24" s="27" t="s">
        <v>133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I11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2" width="20" customWidth="1"/>
    <col min="3" max="4" width="22" customWidth="1"/>
    <col min="5" max="8" width="26" customWidth="1"/>
    <col min="9" max="9" width="65" customWidth="1"/>
  </cols>
  <sheetData>
    <row r="1" spans="1:9" ht="17.25" customHeight="1">
      <c r="A1" s="1" t="s">
        <v>134</v>
      </c>
    </row>
    <row r="2" spans="1:9" ht="15" customHeight="1">
      <c r="A2" s="2" t="s">
        <v>135</v>
      </c>
    </row>
    <row r="3" spans="1:9" ht="15" customHeight="1">
      <c r="A3" s="38" t="s">
        <v>136</v>
      </c>
    </row>
    <row r="5" spans="1:9" ht="23.25" customHeight="1">
      <c r="A5" s="4" t="s">
        <v>137</v>
      </c>
      <c r="B5" s="4" t="s">
        <v>138</v>
      </c>
      <c r="C5" s="4" t="s">
        <v>139</v>
      </c>
      <c r="D5" s="4" t="s">
        <v>140</v>
      </c>
      <c r="E5" s="4" t="s">
        <v>141</v>
      </c>
      <c r="F5" s="4" t="s">
        <v>142</v>
      </c>
      <c r="G5" s="4" t="s">
        <v>143</v>
      </c>
      <c r="H5" s="4" t="s">
        <v>144</v>
      </c>
      <c r="I5" s="4" t="s">
        <v>145</v>
      </c>
    </row>
    <row r="6" spans="1:9" ht="23.25" customHeight="1">
      <c r="A6" s="31" t="s">
        <v>114</v>
      </c>
      <c r="B6" s="39">
        <v>45</v>
      </c>
      <c r="C6" s="40">
        <v>0.85</v>
      </c>
      <c r="D6" s="40">
        <v>0.75</v>
      </c>
      <c r="E6" s="41">
        <f t="shared" ref="E6:E11" si="0">B6*(1-C6)</f>
        <v>6.7500000000000009</v>
      </c>
      <c r="F6" s="41">
        <f t="shared" ref="F6:F11" si="1">B6*(1-D6)</f>
        <v>11.25</v>
      </c>
      <c r="G6" s="41">
        <f t="shared" ref="G6:G11" si="2">B6*C6</f>
        <v>38.25</v>
      </c>
      <c r="H6" s="41">
        <f t="shared" ref="H6:H11" si="3">B6*D6</f>
        <v>33.75</v>
      </c>
      <c r="I6" s="42" t="s">
        <v>146</v>
      </c>
    </row>
    <row r="7" spans="1:9" ht="23.25" customHeight="1">
      <c r="A7" s="35" t="s">
        <v>115</v>
      </c>
      <c r="B7" s="39">
        <v>8</v>
      </c>
      <c r="C7" s="40">
        <v>0.9</v>
      </c>
      <c r="D7" s="40">
        <v>0.8</v>
      </c>
      <c r="E7" s="43">
        <f t="shared" si="0"/>
        <v>0.79999999999999982</v>
      </c>
      <c r="F7" s="43">
        <f t="shared" si="1"/>
        <v>1.5999999999999996</v>
      </c>
      <c r="G7" s="43">
        <f t="shared" si="2"/>
        <v>7.2</v>
      </c>
      <c r="H7" s="43">
        <f t="shared" si="3"/>
        <v>6.4</v>
      </c>
      <c r="I7" s="44" t="s">
        <v>147</v>
      </c>
    </row>
    <row r="8" spans="1:9" ht="23.25" customHeight="1">
      <c r="A8" s="31" t="s">
        <v>116</v>
      </c>
      <c r="B8" s="39">
        <v>60</v>
      </c>
      <c r="C8" s="40">
        <v>0.7</v>
      </c>
      <c r="D8" s="40">
        <v>0.65</v>
      </c>
      <c r="E8" s="41">
        <f t="shared" si="0"/>
        <v>18.000000000000004</v>
      </c>
      <c r="F8" s="41">
        <f t="shared" si="1"/>
        <v>21</v>
      </c>
      <c r="G8" s="41">
        <f t="shared" si="2"/>
        <v>42</v>
      </c>
      <c r="H8" s="41">
        <f t="shared" si="3"/>
        <v>39</v>
      </c>
      <c r="I8" s="42" t="s">
        <v>148</v>
      </c>
    </row>
    <row r="9" spans="1:9" ht="23.25" customHeight="1">
      <c r="A9" s="35" t="s">
        <v>117</v>
      </c>
      <c r="B9" s="39">
        <v>35</v>
      </c>
      <c r="C9" s="40">
        <v>0.65</v>
      </c>
      <c r="D9" s="40">
        <v>0.6</v>
      </c>
      <c r="E9" s="43">
        <f t="shared" si="0"/>
        <v>12.25</v>
      </c>
      <c r="F9" s="43">
        <f t="shared" si="1"/>
        <v>14</v>
      </c>
      <c r="G9" s="43">
        <f t="shared" si="2"/>
        <v>22.75</v>
      </c>
      <c r="H9" s="43">
        <f t="shared" si="3"/>
        <v>21</v>
      </c>
      <c r="I9" s="44" t="s">
        <v>149</v>
      </c>
    </row>
    <row r="10" spans="1:9" ht="23.25" customHeight="1">
      <c r="A10" s="31" t="s">
        <v>118</v>
      </c>
      <c r="B10" s="39">
        <v>90</v>
      </c>
      <c r="C10" s="40">
        <v>0.75</v>
      </c>
      <c r="D10" s="40">
        <v>0.7</v>
      </c>
      <c r="E10" s="41">
        <f t="shared" si="0"/>
        <v>22.5</v>
      </c>
      <c r="F10" s="41">
        <f t="shared" si="1"/>
        <v>27.000000000000004</v>
      </c>
      <c r="G10" s="41">
        <f t="shared" si="2"/>
        <v>67.5</v>
      </c>
      <c r="H10" s="41">
        <f t="shared" si="3"/>
        <v>62.999999999999993</v>
      </c>
      <c r="I10" s="42" t="s">
        <v>150</v>
      </c>
    </row>
    <row r="11" spans="1:9" ht="23.25" customHeight="1">
      <c r="A11" s="35" t="s">
        <v>119</v>
      </c>
      <c r="B11" s="39">
        <v>120</v>
      </c>
      <c r="C11" s="40">
        <v>0.9</v>
      </c>
      <c r="D11" s="40">
        <v>0.85</v>
      </c>
      <c r="E11" s="43">
        <f t="shared" si="0"/>
        <v>11.999999999999996</v>
      </c>
      <c r="F11" s="43">
        <f t="shared" si="1"/>
        <v>18.000000000000004</v>
      </c>
      <c r="G11" s="43">
        <f t="shared" si="2"/>
        <v>108</v>
      </c>
      <c r="H11" s="43">
        <f t="shared" si="3"/>
        <v>102</v>
      </c>
      <c r="I11" s="44" t="s">
        <v>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N15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2" width="18" customWidth="1"/>
    <col min="3" max="6" width="20" customWidth="1"/>
    <col min="7" max="8" width="14" customWidth="1"/>
    <col min="9" max="9" width="12" customWidth="1"/>
    <col min="10" max="14" width="18" customWidth="1"/>
  </cols>
  <sheetData>
    <row r="1" spans="1:14" ht="17.25" customHeight="1">
      <c r="A1" s="1" t="s">
        <v>152</v>
      </c>
    </row>
    <row r="2" spans="1:14" ht="15" customHeight="1">
      <c r="A2" s="2" t="s">
        <v>153</v>
      </c>
    </row>
    <row r="4" spans="1:14" ht="15" customHeight="1">
      <c r="A4" t="s">
        <v>154</v>
      </c>
      <c r="B4" t="s">
        <v>17</v>
      </c>
    </row>
    <row r="5" spans="1:14" ht="15" customHeight="1">
      <c r="A5" t="s">
        <v>155</v>
      </c>
      <c r="B5" s="45">
        <v>3</v>
      </c>
    </row>
    <row r="6" spans="1:14" ht="15" customHeight="1">
      <c r="A6" t="s">
        <v>156</v>
      </c>
      <c r="B6" s="45">
        <v>15</v>
      </c>
    </row>
    <row r="7" spans="1:14" ht="15" customHeight="1">
      <c r="A7" t="s">
        <v>157</v>
      </c>
      <c r="B7" s="46">
        <f>Assumptions!B27</f>
        <v>1.29</v>
      </c>
    </row>
    <row r="9" spans="1:14" ht="23.25" customHeight="1">
      <c r="A9" s="4" t="s">
        <v>137</v>
      </c>
      <c r="B9" s="4" t="s">
        <v>158</v>
      </c>
      <c r="C9" s="4" t="s">
        <v>138</v>
      </c>
      <c r="D9" s="4" t="s">
        <v>159</v>
      </c>
      <c r="E9" s="4" t="s">
        <v>139</v>
      </c>
      <c r="F9" s="4" t="s">
        <v>140</v>
      </c>
      <c r="G9" s="4" t="s">
        <v>160</v>
      </c>
      <c r="H9" s="4" t="s">
        <v>161</v>
      </c>
      <c r="I9" s="4" t="s">
        <v>162</v>
      </c>
      <c r="J9" s="4" t="s">
        <v>163</v>
      </c>
      <c r="K9" s="4" t="s">
        <v>164</v>
      </c>
      <c r="L9" s="4" t="s">
        <v>165</v>
      </c>
      <c r="M9" s="4" t="s">
        <v>166</v>
      </c>
      <c r="N9" s="4" t="s">
        <v>167</v>
      </c>
    </row>
    <row r="10" spans="1:14" ht="15" customHeight="1">
      <c r="A10" s="31" t="s">
        <v>114</v>
      </c>
      <c r="B10" s="23" t="s">
        <v>168</v>
      </c>
      <c r="C10" s="47">
        <f>Automatability!B6</f>
        <v>45</v>
      </c>
      <c r="D10" s="48">
        <f>C10*Assumptions!F34</f>
        <v>36.593406593406591</v>
      </c>
      <c r="E10" s="49">
        <f>Automatability!C6</f>
        <v>0.85</v>
      </c>
      <c r="F10" s="49">
        <f>Automatability!D6</f>
        <v>0.75</v>
      </c>
      <c r="G10" s="24">
        <v>8000</v>
      </c>
      <c r="H10" s="24">
        <v>3000</v>
      </c>
      <c r="I10" s="26">
        <v>3</v>
      </c>
      <c r="J10" s="48">
        <f t="shared" ref="J10:J15" si="0">((G10*$B$5+H10*$B$6)/1000000)*I10/$B$7</f>
        <v>0.16046511627906979</v>
      </c>
      <c r="K10" s="50">
        <f>J10+(C10*(1-E10)*Assumptions!F34)</f>
        <v>5.6494761052900593</v>
      </c>
      <c r="L10" s="50">
        <f>J10+(C10*(1-F10)*Assumptions!F34)</f>
        <v>9.3088167646307181</v>
      </c>
      <c r="M10" s="51">
        <f t="shared" ref="M10:M15" si="1">1-(K10/D10)</f>
        <v>0.84561491724282423</v>
      </c>
      <c r="N10" s="51">
        <f t="shared" ref="N10:N15" si="2">1-(L10/D10)</f>
        <v>0.74561491724282414</v>
      </c>
    </row>
    <row r="11" spans="1:14" ht="15" customHeight="1">
      <c r="A11" s="35" t="s">
        <v>115</v>
      </c>
      <c r="B11" s="27" t="s">
        <v>169</v>
      </c>
      <c r="C11" s="52">
        <f>Automatability!B7</f>
        <v>8</v>
      </c>
      <c r="D11" s="53">
        <f>C11*Assumptions!F33</f>
        <v>4.3369963369963367</v>
      </c>
      <c r="E11" s="54">
        <f>Automatability!C7</f>
        <v>0.9</v>
      </c>
      <c r="F11" s="54">
        <f>Automatability!D7</f>
        <v>0.8</v>
      </c>
      <c r="G11" s="39">
        <v>3000</v>
      </c>
      <c r="H11" s="39">
        <v>1000</v>
      </c>
      <c r="I11" s="37">
        <v>2</v>
      </c>
      <c r="J11" s="53">
        <f t="shared" si="0"/>
        <v>3.7209302325581395E-2</v>
      </c>
      <c r="K11" s="55">
        <f>J11+(C11*(1-E11)*Assumptions!F33)</f>
        <v>0.47090893602521494</v>
      </c>
      <c r="L11" s="55">
        <f>J11+(C11*(1-F11)*Assumptions!F33)</f>
        <v>0.90460856972484849</v>
      </c>
      <c r="M11" s="56">
        <f t="shared" si="1"/>
        <v>0.89142049025769965</v>
      </c>
      <c r="N11" s="56">
        <f t="shared" si="2"/>
        <v>0.79142049025769956</v>
      </c>
    </row>
    <row r="12" spans="1:14" ht="15" customHeight="1">
      <c r="A12" s="31" t="s">
        <v>116</v>
      </c>
      <c r="B12" s="23" t="s">
        <v>83</v>
      </c>
      <c r="C12" s="47">
        <f>Automatability!B8</f>
        <v>60</v>
      </c>
      <c r="D12" s="48">
        <f>C12*Assumptions!F36</f>
        <v>63.021978021978022</v>
      </c>
      <c r="E12" s="49">
        <f>Automatability!C8</f>
        <v>0.7</v>
      </c>
      <c r="F12" s="49">
        <f>Automatability!D8</f>
        <v>0.65</v>
      </c>
      <c r="G12" s="24">
        <v>10000</v>
      </c>
      <c r="H12" s="24">
        <v>4000</v>
      </c>
      <c r="I12" s="26">
        <v>5</v>
      </c>
      <c r="J12" s="48">
        <f t="shared" si="0"/>
        <v>0.34883720930232553</v>
      </c>
      <c r="K12" s="50">
        <f>J12+(C12*(1-E12)*Assumptions!F36)</f>
        <v>19.255430615895737</v>
      </c>
      <c r="L12" s="50">
        <f>J12+(C12*(1-F12)*Assumptions!F36)</f>
        <v>22.406529516994635</v>
      </c>
      <c r="M12" s="51">
        <f t="shared" si="1"/>
        <v>0.69446483242432222</v>
      </c>
      <c r="N12" s="51">
        <f t="shared" si="2"/>
        <v>0.64446483242432229</v>
      </c>
    </row>
    <row r="13" spans="1:14" ht="15" customHeight="1">
      <c r="A13" s="35" t="s">
        <v>117</v>
      </c>
      <c r="B13" s="27" t="s">
        <v>168</v>
      </c>
      <c r="C13" s="52">
        <f>Automatability!B9</f>
        <v>35</v>
      </c>
      <c r="D13" s="53">
        <f>C13*Assumptions!F34</f>
        <v>28.46153846153846</v>
      </c>
      <c r="E13" s="54">
        <f>Automatability!C9</f>
        <v>0.65</v>
      </c>
      <c r="F13" s="54">
        <f>Automatability!D9</f>
        <v>0.6</v>
      </c>
      <c r="G13" s="39">
        <v>6000</v>
      </c>
      <c r="H13" s="39">
        <v>2500</v>
      </c>
      <c r="I13" s="37">
        <v>2</v>
      </c>
      <c r="J13" s="53">
        <f t="shared" si="0"/>
        <v>8.6046511627906969E-2</v>
      </c>
      <c r="K13" s="55">
        <f>J13+(C13*(1-E13)*Assumptions!F34)</f>
        <v>10.047584973166369</v>
      </c>
      <c r="L13" s="55">
        <f>J13+(C13*(1-F13)*Assumptions!F34)</f>
        <v>11.470661896243293</v>
      </c>
      <c r="M13" s="56">
        <f t="shared" si="1"/>
        <v>0.64697674418604645</v>
      </c>
      <c r="N13" s="56">
        <f t="shared" si="2"/>
        <v>0.59697674418604652</v>
      </c>
    </row>
    <row r="14" spans="1:14" ht="15" customHeight="1">
      <c r="A14" s="31" t="s">
        <v>118</v>
      </c>
      <c r="B14" s="23" t="s">
        <v>81</v>
      </c>
      <c r="C14" s="47">
        <f>Automatability!B10</f>
        <v>90</v>
      </c>
      <c r="D14" s="48">
        <f>C14*Assumptions!F35</f>
        <v>86.126373626373621</v>
      </c>
      <c r="E14" s="49">
        <f>Automatability!C10</f>
        <v>0.75</v>
      </c>
      <c r="F14" s="49">
        <f>Automatability!D10</f>
        <v>0.7</v>
      </c>
      <c r="G14" s="24">
        <v>15000</v>
      </c>
      <c r="H14" s="24">
        <v>5000</v>
      </c>
      <c r="I14" s="26">
        <v>3</v>
      </c>
      <c r="J14" s="48">
        <f t="shared" si="0"/>
        <v>0.27906976744186046</v>
      </c>
      <c r="K14" s="50">
        <f>J14+(C14*(1-E14)*Assumptions!F35)</f>
        <v>21.810663174035266</v>
      </c>
      <c r="L14" s="50">
        <f>J14+(C14*(1-F14)*Assumptions!F35)</f>
        <v>26.116981855353952</v>
      </c>
      <c r="M14" s="51">
        <f t="shared" si="1"/>
        <v>0.74675976410370537</v>
      </c>
      <c r="N14" s="51">
        <f t="shared" si="2"/>
        <v>0.69675976410370533</v>
      </c>
    </row>
    <row r="15" spans="1:14" ht="15" customHeight="1">
      <c r="A15" s="35" t="s">
        <v>119</v>
      </c>
      <c r="B15" s="27" t="s">
        <v>168</v>
      </c>
      <c r="C15" s="52">
        <f>Automatability!B11</f>
        <v>120</v>
      </c>
      <c r="D15" s="53">
        <f>C15*Assumptions!F34</f>
        <v>97.582417582417577</v>
      </c>
      <c r="E15" s="54">
        <f>Automatability!C11</f>
        <v>0.9</v>
      </c>
      <c r="F15" s="54">
        <f>Automatability!D11</f>
        <v>0.85</v>
      </c>
      <c r="G15" s="39">
        <v>5000</v>
      </c>
      <c r="H15" s="39">
        <v>3000</v>
      </c>
      <c r="I15" s="37">
        <v>4</v>
      </c>
      <c r="J15" s="53">
        <f t="shared" si="0"/>
        <v>0.18604651162790697</v>
      </c>
      <c r="K15" s="55">
        <f>J15+(C15*(1-E15)*Assumptions!F34)</f>
        <v>9.9442882698696629</v>
      </c>
      <c r="L15" s="55">
        <f>J15+(C15*(1-F15)*Assumptions!F34)</f>
        <v>14.823409148990548</v>
      </c>
      <c r="M15" s="56">
        <f t="shared" si="1"/>
        <v>0.89809344227948884</v>
      </c>
      <c r="N15" s="56">
        <f t="shared" si="2"/>
        <v>0.8480934422794888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I19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3" width="20" customWidth="1"/>
    <col min="4" max="4" width="22" customWidth="1"/>
    <col min="5" max="5" width="20" customWidth="1"/>
    <col min="6" max="7" width="24" customWidth="1"/>
    <col min="8" max="8" width="20" customWidth="1"/>
    <col min="9" max="9" width="22" customWidth="1"/>
  </cols>
  <sheetData>
    <row r="1" spans="1:9" ht="18">
      <c r="A1" s="1" t="s">
        <v>170</v>
      </c>
    </row>
    <row r="2" spans="1:9">
      <c r="A2" s="2" t="s">
        <v>171</v>
      </c>
    </row>
    <row r="3" spans="1:9">
      <c r="A3" s="38" t="s">
        <v>172</v>
      </c>
    </row>
    <row r="5" spans="1:9">
      <c r="A5" t="s">
        <v>157</v>
      </c>
      <c r="B5" s="46">
        <f>Assumptions!B27</f>
        <v>1.29</v>
      </c>
    </row>
    <row r="7" spans="1:9" ht="29">
      <c r="A7" s="4" t="s">
        <v>137</v>
      </c>
      <c r="B7" s="4" t="s">
        <v>173</v>
      </c>
      <c r="C7" s="4" t="s">
        <v>174</v>
      </c>
      <c r="D7" s="4" t="s">
        <v>175</v>
      </c>
      <c r="E7" s="4" t="s">
        <v>176</v>
      </c>
      <c r="F7" s="4" t="s">
        <v>177</v>
      </c>
      <c r="G7" s="4" t="s">
        <v>178</v>
      </c>
      <c r="H7" s="4" t="s">
        <v>179</v>
      </c>
      <c r="I7" s="4" t="s">
        <v>180</v>
      </c>
    </row>
    <row r="8" spans="1:9">
      <c r="A8" s="57" t="s">
        <v>114</v>
      </c>
      <c r="B8" s="58">
        <f>'Process Comparison'!N10</f>
        <v>0.74561491724282414</v>
      </c>
      <c r="C8" s="59">
        <v>1</v>
      </c>
      <c r="D8" s="60">
        <v>8</v>
      </c>
      <c r="E8" s="61">
        <f>Assumptions!F34</f>
        <v>0.81318681318681318</v>
      </c>
      <c r="F8" s="62">
        <f t="shared" ref="F8:F13" si="0">C8*D8*E8</f>
        <v>6.5054945054945055</v>
      </c>
      <c r="G8" s="63">
        <f>'Process Comparison'!J10+'Process Comparison'!C10*(1-'Process Comparison'!F10)*E8+F8</f>
        <v>15.814311270125224</v>
      </c>
      <c r="H8" s="64">
        <f>1-(G8/'Process Comparison'!D10)</f>
        <v>0.56783713946504644</v>
      </c>
      <c r="I8" s="65">
        <f>'Process Comparison'!N10-H8</f>
        <v>0.1777777777777777</v>
      </c>
    </row>
    <row r="9" spans="1:9">
      <c r="A9" s="66" t="s">
        <v>115</v>
      </c>
      <c r="B9" s="58">
        <f>'Process Comparison'!N11</f>
        <v>0.79142049025769956</v>
      </c>
      <c r="C9" s="59">
        <v>0.5</v>
      </c>
      <c r="D9" s="60">
        <v>3</v>
      </c>
      <c r="E9" s="61">
        <f>Assumptions!F33</f>
        <v>0.54212454212454209</v>
      </c>
      <c r="F9" s="62">
        <f t="shared" si="0"/>
        <v>0.81318681318681318</v>
      </c>
      <c r="G9" s="63">
        <f>'Process Comparison'!J11+'Process Comparison'!C11*(1-'Process Comparison'!F11)*E9+F9</f>
        <v>1.7177953829116617</v>
      </c>
      <c r="H9" s="64">
        <f>1-(G9/'Process Comparison'!D11)</f>
        <v>0.60392049025769956</v>
      </c>
      <c r="I9" s="65">
        <f>'Process Comparison'!N11-H9</f>
        <v>0.1875</v>
      </c>
    </row>
    <row r="10" spans="1:9">
      <c r="A10" s="57" t="s">
        <v>116</v>
      </c>
      <c r="B10" s="58">
        <f>'Process Comparison'!N12</f>
        <v>0.64446483242432229</v>
      </c>
      <c r="C10" s="59">
        <v>1</v>
      </c>
      <c r="D10" s="60">
        <v>12</v>
      </c>
      <c r="E10" s="61">
        <f>Assumptions!F36</f>
        <v>1.0503663003663004</v>
      </c>
      <c r="F10" s="62">
        <f t="shared" si="0"/>
        <v>12.604395604395606</v>
      </c>
      <c r="G10" s="63">
        <f>'Process Comparison'!J12+'Process Comparison'!C12*(1-'Process Comparison'!F12)*E10+F10</f>
        <v>35.010925121390244</v>
      </c>
      <c r="H10" s="64">
        <f>1-(G10/'Process Comparison'!D12)</f>
        <v>0.44446483242432222</v>
      </c>
      <c r="I10" s="65">
        <f>'Process Comparison'!N12-H10</f>
        <v>0.20000000000000007</v>
      </c>
    </row>
    <row r="11" spans="1:9">
      <c r="A11" s="66" t="s">
        <v>117</v>
      </c>
      <c r="B11" s="58">
        <f>'Process Comparison'!N13</f>
        <v>0.59697674418604652</v>
      </c>
      <c r="C11" s="59">
        <v>0.3</v>
      </c>
      <c r="D11" s="60">
        <v>8</v>
      </c>
      <c r="E11" s="61">
        <f>Assumptions!F34</f>
        <v>0.81318681318681318</v>
      </c>
      <c r="F11" s="62">
        <f t="shared" si="0"/>
        <v>1.9516483516483516</v>
      </c>
      <c r="G11" s="63">
        <f>'Process Comparison'!J13+'Process Comparison'!C13*(1-'Process Comparison'!F13)*E11+F11</f>
        <v>13.422310247891645</v>
      </c>
      <c r="H11" s="64">
        <f>1-(G11/'Process Comparison'!D13)</f>
        <v>0.52840531561461779</v>
      </c>
      <c r="I11" s="65">
        <f>'Process Comparison'!N13-H11</f>
        <v>6.8571428571428727E-2</v>
      </c>
    </row>
    <row r="12" spans="1:9">
      <c r="A12" s="57" t="s">
        <v>118</v>
      </c>
      <c r="B12" s="58">
        <f>'Process Comparison'!N14</f>
        <v>0.69675976410370533</v>
      </c>
      <c r="C12" s="59">
        <v>1</v>
      </c>
      <c r="D12" s="60">
        <v>15</v>
      </c>
      <c r="E12" s="61">
        <f>Assumptions!F35</f>
        <v>0.95695970695970689</v>
      </c>
      <c r="F12" s="62">
        <f t="shared" si="0"/>
        <v>14.354395604395604</v>
      </c>
      <c r="G12" s="63">
        <f>'Process Comparison'!J14+'Process Comparison'!C14*(1-'Process Comparison'!F14)*E12+F12</f>
        <v>40.471377459749554</v>
      </c>
      <c r="H12" s="64">
        <f>1-(G12/'Process Comparison'!D14)</f>
        <v>0.53009309743703859</v>
      </c>
      <c r="I12" s="65">
        <f>'Process Comparison'!N14-H12</f>
        <v>0.16666666666666674</v>
      </c>
    </row>
    <row r="13" spans="1:9">
      <c r="A13" s="66" t="s">
        <v>119</v>
      </c>
      <c r="B13" s="58">
        <f>'Process Comparison'!N15</f>
        <v>0.8480934422794888</v>
      </c>
      <c r="C13" s="59">
        <v>0.1</v>
      </c>
      <c r="D13" s="60">
        <v>5</v>
      </c>
      <c r="E13" s="61">
        <f>Assumptions!F34</f>
        <v>0.81318681318681318</v>
      </c>
      <c r="F13" s="62">
        <f t="shared" si="0"/>
        <v>0.40659340659340659</v>
      </c>
      <c r="G13" s="63">
        <f>'Process Comparison'!J15+'Process Comparison'!C15*(1-'Process Comparison'!F15)*E13+F13</f>
        <v>15.230002555583955</v>
      </c>
      <c r="H13" s="64">
        <f>1-(G13/'Process Comparison'!D15)</f>
        <v>0.84392677561282214</v>
      </c>
      <c r="I13" s="65">
        <f>'Process Comparison'!N15-H13</f>
        <v>4.1666666666666519E-3</v>
      </c>
    </row>
    <row r="15" spans="1:9">
      <c r="A15" s="36" t="s">
        <v>181</v>
      </c>
    </row>
    <row r="16" spans="1:9">
      <c r="A16" s="2" t="s">
        <v>182</v>
      </c>
    </row>
    <row r="17" spans="1:1">
      <c r="A17" s="2" t="s">
        <v>183</v>
      </c>
    </row>
    <row r="18" spans="1:1">
      <c r="A18" s="2" t="s">
        <v>184</v>
      </c>
    </row>
    <row r="19" spans="1:1">
      <c r="A19" s="2" t="s">
        <v>185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J22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2" width="14" customWidth="1"/>
    <col min="3" max="10" width="16" customWidth="1"/>
  </cols>
  <sheetData>
    <row r="1" spans="1:10" ht="18">
      <c r="A1" s="1" t="s">
        <v>186</v>
      </c>
    </row>
    <row r="2" spans="1:10">
      <c r="A2" s="2" t="s">
        <v>187</v>
      </c>
    </row>
    <row r="3" spans="1:10">
      <c r="A3" s="38" t="s">
        <v>188</v>
      </c>
    </row>
    <row r="5" spans="1:10">
      <c r="A5" s="4" t="s">
        <v>137</v>
      </c>
      <c r="B5" s="4" t="s">
        <v>189</v>
      </c>
      <c r="C5" s="4" t="s">
        <v>190</v>
      </c>
      <c r="D5" s="4" t="s">
        <v>191</v>
      </c>
      <c r="E5" s="4" t="s">
        <v>192</v>
      </c>
      <c r="F5" s="4" t="s">
        <v>193</v>
      </c>
      <c r="G5" s="4" t="s">
        <v>194</v>
      </c>
      <c r="H5" s="4" t="s">
        <v>195</v>
      </c>
      <c r="I5" s="4" t="s">
        <v>196</v>
      </c>
      <c r="J5" s="4" t="s">
        <v>197</v>
      </c>
    </row>
    <row r="6" spans="1:10">
      <c r="A6" s="57" t="s">
        <v>114</v>
      </c>
      <c r="B6" s="58">
        <f>Automatability!D6</f>
        <v>0.75</v>
      </c>
      <c r="C6" s="60">
        <v>50000</v>
      </c>
      <c r="D6" s="67">
        <f>C6*(Automatability!B6*(Automatability!D6+-0.2)*Assumptions!F34-'Process Comparison'!J10)</f>
        <v>998295.42550472787</v>
      </c>
      <c r="E6" s="67">
        <f>C6*(Automatability!B6*(Automatability!D6+-0.15)*Assumptions!F34-'Process Comparison'!J10)</f>
        <v>1089778.9419882442</v>
      </c>
      <c r="F6" s="68">
        <f>C6*(Automatability!B6*(Automatability!D6+-0.1)*Assumptions!F34-'Process Comparison'!J10)</f>
        <v>1181262.4584717606</v>
      </c>
      <c r="G6" s="68">
        <f>C6*(Automatability!B6*(Automatability!D6+-0.05)*Assumptions!F34-'Process Comparison'!J10)</f>
        <v>1272745.9749552771</v>
      </c>
      <c r="H6" s="69">
        <f>C6*(Automatability!B6*(Automatability!D6)*Assumptions!F34-'Process Comparison'!J10)</f>
        <v>1364229.4914387937</v>
      </c>
      <c r="I6" s="70">
        <f>C6*(Automatability!B6*(Automatability!D6+0.05)*Assumptions!F34-'Process Comparison'!J10)</f>
        <v>1455713.0079223101</v>
      </c>
      <c r="J6" s="70">
        <f>C6*(Automatability!B6*(Automatability!D6+0.1)*Assumptions!F34-'Process Comparison'!J10)</f>
        <v>1547196.5244058268</v>
      </c>
    </row>
    <row r="7" spans="1:10">
      <c r="A7" s="66" t="s">
        <v>115</v>
      </c>
      <c r="B7" s="58">
        <f>Automatability!D7</f>
        <v>0.8</v>
      </c>
      <c r="C7" s="60">
        <v>200000</v>
      </c>
      <c r="D7" s="67">
        <f>C7*(Automatability!B7*(Automatability!D7+-0.2)*Assumptions!F33-'Process Comparison'!J11)</f>
        <v>512997.69997444417</v>
      </c>
      <c r="E7" s="67">
        <f>C7*(Automatability!B7*(Automatability!D7+-0.15)*Assumptions!F33-'Process Comparison'!J11)</f>
        <v>556367.66334440745</v>
      </c>
      <c r="F7" s="68">
        <f>C7*(Automatability!B7*(Automatability!D7+-0.1)*Assumptions!F33-'Process Comparison'!J11)</f>
        <v>599737.62671437091</v>
      </c>
      <c r="G7" s="68">
        <f>C7*(Automatability!B7*(Automatability!D7+-0.05)*Assumptions!F33-'Process Comparison'!J11)</f>
        <v>643107.59008433425</v>
      </c>
      <c r="H7" s="69">
        <f>C7*(Automatability!B7*(Automatability!D7)*Assumptions!F33-'Process Comparison'!J11)</f>
        <v>686477.55345429771</v>
      </c>
      <c r="I7" s="70">
        <f>C7*(Automatability!B7*(Automatability!D7+0.05)*Assumptions!F33-'Process Comparison'!J11)</f>
        <v>729847.51682426105</v>
      </c>
      <c r="J7" s="70">
        <f>C7*(Automatability!B7*(Automatability!D7+0.1)*Assumptions!F33-'Process Comparison'!J11)</f>
        <v>773217.48019422439</v>
      </c>
    </row>
    <row r="8" spans="1:10">
      <c r="A8" s="57" t="s">
        <v>116</v>
      </c>
      <c r="B8" s="58">
        <f>Automatability!D8</f>
        <v>0.65</v>
      </c>
      <c r="C8" s="60">
        <v>15000</v>
      </c>
      <c r="D8" s="67">
        <f>C8*(Automatability!B8*(Automatability!D8+-0.2)*Assumptions!F36-'Process Comparison'!J12)</f>
        <v>420165.7935088168</v>
      </c>
      <c r="E8" s="67">
        <f>C8*(Automatability!B8*(Automatability!D8+-0.15)*Assumptions!F36-'Process Comparison'!J12)</f>
        <v>467432.27702530031</v>
      </c>
      <c r="F8" s="68">
        <f>C8*(Automatability!B8*(Automatability!D8+-0.1)*Assumptions!F36-'Process Comparison'!J12)</f>
        <v>514698.76054178382</v>
      </c>
      <c r="G8" s="68">
        <f>C8*(Automatability!B8*(Automatability!D8+-0.05)*Assumptions!F36-'Process Comparison'!J12)</f>
        <v>561965.24405826745</v>
      </c>
      <c r="H8" s="69">
        <f>C8*(Automatability!B8*(Automatability!D8)*Assumptions!F36-'Process Comparison'!J12)</f>
        <v>609231.7275747509</v>
      </c>
      <c r="I8" s="70">
        <f>C8*(Automatability!B8*(Automatability!D8+0.05)*Assumptions!F36-'Process Comparison'!J12)</f>
        <v>656498.21109123458</v>
      </c>
      <c r="J8" s="70">
        <f>C8*(Automatability!B8*(Automatability!D8+0.1)*Assumptions!F36-'Process Comparison'!J12)</f>
        <v>703764.69460771792</v>
      </c>
    </row>
    <row r="9" spans="1:10">
      <c r="A9" s="66" t="s">
        <v>117</v>
      </c>
      <c r="B9" s="58">
        <f>Automatability!D9</f>
        <v>0.6</v>
      </c>
      <c r="C9" s="60">
        <v>80000</v>
      </c>
      <c r="D9" s="67">
        <f>C9*(Automatability!B9*(Automatability!D9+-0.2)*Assumptions!F34-'Process Comparison'!J13)</f>
        <v>903885.50983899808</v>
      </c>
      <c r="E9" s="67">
        <f>C9*(Automatability!B9*(Automatability!D9+-0.15)*Assumptions!F34-'Process Comparison'!J13)</f>
        <v>1017731.663685152</v>
      </c>
      <c r="F9" s="68">
        <f>C9*(Automatability!B9*(Automatability!D9+-0.1)*Assumptions!F34-'Process Comparison'!J13)</f>
        <v>1131577.8175313058</v>
      </c>
      <c r="G9" s="68">
        <f>C9*(Automatability!B9*(Automatability!D9+-0.05)*Assumptions!F34-'Process Comparison'!J13)</f>
        <v>1245423.9713774596</v>
      </c>
      <c r="H9" s="69">
        <f>C9*(Automatability!B9*(Automatability!D9)*Assumptions!F34-'Process Comparison'!J13)</f>
        <v>1359270.1252236136</v>
      </c>
      <c r="I9" s="70">
        <f>C9*(Automatability!B9*(Automatability!D9+0.05)*Assumptions!F34-'Process Comparison'!J13)</f>
        <v>1473116.2790697676</v>
      </c>
      <c r="J9" s="70">
        <f>C9*(Automatability!B9*(Automatability!D9+0.1)*Assumptions!F34-'Process Comparison'!J13)</f>
        <v>1586962.4329159213</v>
      </c>
    </row>
    <row r="10" spans="1:10">
      <c r="A10" s="57" t="s">
        <v>118</v>
      </c>
      <c r="B10" s="58">
        <f>Automatability!D10</f>
        <v>0.7</v>
      </c>
      <c r="C10" s="60">
        <v>5000</v>
      </c>
      <c r="D10" s="67">
        <f>C10*(Automatability!B10*(Automatability!D10+-0.2)*Assumptions!F35-'Process Comparison'!J14)</f>
        <v>213920.58522872473</v>
      </c>
      <c r="E10" s="67">
        <f>C10*(Automatability!B10*(Automatability!D10+-0.15)*Assumptions!F35-'Process Comparison'!J14)</f>
        <v>235452.17863531809</v>
      </c>
      <c r="F10" s="68">
        <f>C10*(Automatability!B10*(Automatability!D10+-0.1)*Assumptions!F35-'Process Comparison'!J14)</f>
        <v>256983.77204191158</v>
      </c>
      <c r="G10" s="68">
        <f>C10*(Automatability!B10*(Automatability!D10+-0.05)*Assumptions!F35-'Process Comparison'!J14)</f>
        <v>278515.36544850492</v>
      </c>
      <c r="H10" s="69">
        <f>C10*(Automatability!B10*(Automatability!D10)*Assumptions!F35-'Process Comparison'!J14)</f>
        <v>300046.95885509835</v>
      </c>
      <c r="I10" s="70">
        <f>C10*(Automatability!B10*(Automatability!D10+0.05)*Assumptions!F35-'Process Comparison'!J14)</f>
        <v>321578.55226169183</v>
      </c>
      <c r="J10" s="70">
        <f>C10*(Automatability!B10*(Automatability!D10+0.1)*Assumptions!F35-'Process Comparison'!J14)</f>
        <v>343110.1456682852</v>
      </c>
    </row>
    <row r="11" spans="1:10">
      <c r="A11" s="66" t="s">
        <v>119</v>
      </c>
      <c r="B11" s="58">
        <f>Automatability!D11</f>
        <v>0.85</v>
      </c>
      <c r="C11" s="60">
        <v>2000</v>
      </c>
      <c r="D11" s="67">
        <f>C11*(Automatability!B11*(Automatability!D11+-0.2)*Assumptions!F34-'Process Comparison'!J15)</f>
        <v>126485.04983388702</v>
      </c>
      <c r="E11" s="67">
        <f>C11*(Automatability!B11*(Automatability!D11+-0.15)*Assumptions!F34-'Process Comparison'!J15)</f>
        <v>136243.29159212881</v>
      </c>
      <c r="F11" s="68">
        <f>C11*(Automatability!B11*(Automatability!D11+-0.1)*Assumptions!F34-'Process Comparison'!J15)</f>
        <v>146001.53335037056</v>
      </c>
      <c r="G11" s="68">
        <f>C11*(Automatability!B11*(Automatability!D11+-0.05)*Assumptions!F34-'Process Comparison'!J15)</f>
        <v>155759.77510861232</v>
      </c>
      <c r="H11" s="69">
        <f>C11*(Automatability!B11*(Automatability!D11)*Assumptions!F34-'Process Comparison'!J15)</f>
        <v>165518.01686685407</v>
      </c>
      <c r="I11" s="70">
        <f>C11*(Automatability!B11*(Automatability!D11+0.05)*Assumptions!F34-'Process Comparison'!J15)</f>
        <v>175276.25862509583</v>
      </c>
      <c r="J11" s="70">
        <f>C11*(Automatability!B11*(Automatability!D11+0.1)*Assumptions!F34-'Process Comparison'!J15)</f>
        <v>185034.50038333758</v>
      </c>
    </row>
    <row r="12" spans="1:10">
      <c r="A12" s="4" t="s">
        <v>198</v>
      </c>
      <c r="B12" s="4"/>
      <c r="C12" s="71">
        <f t="shared" ref="C12:J12" si="0">SUM(C6:C11)</f>
        <v>352000</v>
      </c>
      <c r="D12" s="72">
        <f t="shared" si="0"/>
        <v>3175750.0638895985</v>
      </c>
      <c r="E12" s="72">
        <f t="shared" si="0"/>
        <v>3503006.0162705509</v>
      </c>
      <c r="F12" s="72">
        <f t="shared" si="0"/>
        <v>3830261.9686515033</v>
      </c>
      <c r="G12" s="72">
        <f t="shared" si="0"/>
        <v>4157517.9210324548</v>
      </c>
      <c r="H12" s="72">
        <f t="shared" si="0"/>
        <v>4484773.8734134082</v>
      </c>
      <c r="I12" s="72">
        <f t="shared" si="0"/>
        <v>4812029.8257943606</v>
      </c>
      <c r="J12" s="72">
        <f t="shared" si="0"/>
        <v>5139285.778175313</v>
      </c>
    </row>
    <row r="14" spans="1:10" ht="16">
      <c r="A14" s="3" t="s">
        <v>199</v>
      </c>
    </row>
    <row r="15" spans="1:10">
      <c r="A15" s="4"/>
      <c r="B15" s="4"/>
      <c r="C15" s="4"/>
      <c r="D15" s="4" t="s">
        <v>191</v>
      </c>
      <c r="E15" s="4" t="s">
        <v>192</v>
      </c>
      <c r="F15" s="4" t="s">
        <v>193</v>
      </c>
      <c r="G15" s="4" t="s">
        <v>194</v>
      </c>
      <c r="H15" s="4" t="s">
        <v>195</v>
      </c>
      <c r="I15" s="4" t="s">
        <v>196</v>
      </c>
      <c r="J15" s="4" t="s">
        <v>197</v>
      </c>
    </row>
    <row r="16" spans="1:10">
      <c r="A16" s="66" t="s">
        <v>114</v>
      </c>
      <c r="B16" s="73"/>
      <c r="C16" s="73"/>
      <c r="D16" s="74">
        <f t="shared" ref="D16:D21" si="1">D6-H6</f>
        <v>-365934.06593406585</v>
      </c>
      <c r="E16" s="74">
        <f t="shared" ref="E16:E21" si="2">E6-H6</f>
        <v>-274450.54945054953</v>
      </c>
      <c r="F16" s="75">
        <f t="shared" ref="F16:F21" si="3">F6-H6</f>
        <v>-182967.0329670331</v>
      </c>
      <c r="G16" s="75">
        <f t="shared" ref="G16:G21" si="4">G6-H6</f>
        <v>-91483.516483516665</v>
      </c>
      <c r="H16" s="69">
        <f t="shared" ref="H16:H21" si="5">H6-H6</f>
        <v>0</v>
      </c>
      <c r="I16" s="76">
        <f t="shared" ref="I16:I21" si="6">I6-H6</f>
        <v>91483.516483516432</v>
      </c>
      <c r="J16" s="76">
        <f t="shared" ref="J16:J21" si="7">J6-H6</f>
        <v>182967.0329670331</v>
      </c>
    </row>
    <row r="17" spans="1:10">
      <c r="A17" s="66" t="s">
        <v>115</v>
      </c>
      <c r="B17" s="73"/>
      <c r="C17" s="73"/>
      <c r="D17" s="74">
        <f t="shared" si="1"/>
        <v>-173479.85347985354</v>
      </c>
      <c r="E17" s="74">
        <f t="shared" si="2"/>
        <v>-130109.89010989026</v>
      </c>
      <c r="F17" s="75">
        <f t="shared" si="3"/>
        <v>-86739.926739926799</v>
      </c>
      <c r="G17" s="75">
        <f t="shared" si="4"/>
        <v>-43369.963369963458</v>
      </c>
      <c r="H17" s="69">
        <f t="shared" si="5"/>
        <v>0</v>
      </c>
      <c r="I17" s="76">
        <f t="shared" si="6"/>
        <v>43369.963369963341</v>
      </c>
      <c r="J17" s="76">
        <f t="shared" si="7"/>
        <v>86739.926739926683</v>
      </c>
    </row>
    <row r="18" spans="1:10">
      <c r="A18" s="66" t="s">
        <v>116</v>
      </c>
      <c r="B18" s="73"/>
      <c r="C18" s="73"/>
      <c r="D18" s="74">
        <f t="shared" si="1"/>
        <v>-189065.9340659341</v>
      </c>
      <c r="E18" s="74">
        <f t="shared" si="2"/>
        <v>-141799.45054945059</v>
      </c>
      <c r="F18" s="75">
        <f t="shared" si="3"/>
        <v>-94532.967032967077</v>
      </c>
      <c r="G18" s="75">
        <f t="shared" si="4"/>
        <v>-47266.483516483451</v>
      </c>
      <c r="H18" s="69">
        <f t="shared" si="5"/>
        <v>0</v>
      </c>
      <c r="I18" s="76">
        <f t="shared" si="6"/>
        <v>47266.483516483684</v>
      </c>
      <c r="J18" s="76">
        <f t="shared" si="7"/>
        <v>94532.967032967019</v>
      </c>
    </row>
    <row r="19" spans="1:10">
      <c r="A19" s="66" t="s">
        <v>117</v>
      </c>
      <c r="B19" s="73"/>
      <c r="C19" s="73"/>
      <c r="D19" s="74">
        <f t="shared" si="1"/>
        <v>-455384.61538461549</v>
      </c>
      <c r="E19" s="74">
        <f t="shared" si="2"/>
        <v>-341538.46153846162</v>
      </c>
      <c r="F19" s="75">
        <f t="shared" si="3"/>
        <v>-227692.30769230775</v>
      </c>
      <c r="G19" s="75">
        <f t="shared" si="4"/>
        <v>-113846.15384615399</v>
      </c>
      <c r="H19" s="69">
        <f t="shared" si="5"/>
        <v>0</v>
      </c>
      <c r="I19" s="76">
        <f t="shared" si="6"/>
        <v>113846.15384615399</v>
      </c>
      <c r="J19" s="76">
        <f t="shared" si="7"/>
        <v>227692.30769230775</v>
      </c>
    </row>
    <row r="20" spans="1:10">
      <c r="A20" s="66" t="s">
        <v>118</v>
      </c>
      <c r="B20" s="73"/>
      <c r="C20" s="73"/>
      <c r="D20" s="74">
        <f t="shared" si="1"/>
        <v>-86126.373626373621</v>
      </c>
      <c r="E20" s="74">
        <f t="shared" si="2"/>
        <v>-64594.780219780252</v>
      </c>
      <c r="F20" s="75">
        <f t="shared" si="3"/>
        <v>-43063.186813186767</v>
      </c>
      <c r="G20" s="75">
        <f t="shared" si="4"/>
        <v>-21531.593406593427</v>
      </c>
      <c r="H20" s="69">
        <f t="shared" si="5"/>
        <v>0</v>
      </c>
      <c r="I20" s="76">
        <f t="shared" si="6"/>
        <v>21531.593406593485</v>
      </c>
      <c r="J20" s="76">
        <f t="shared" si="7"/>
        <v>43063.186813186854</v>
      </c>
    </row>
    <row r="21" spans="1:10">
      <c r="A21" s="66" t="s">
        <v>119</v>
      </c>
      <c r="B21" s="73"/>
      <c r="C21" s="73"/>
      <c r="D21" s="74">
        <f t="shared" si="1"/>
        <v>-39032.967032967048</v>
      </c>
      <c r="E21" s="74">
        <f t="shared" si="2"/>
        <v>-29274.725274725264</v>
      </c>
      <c r="F21" s="75">
        <f t="shared" si="3"/>
        <v>-19516.483516483509</v>
      </c>
      <c r="G21" s="75">
        <f t="shared" si="4"/>
        <v>-9758.2417582417547</v>
      </c>
      <c r="H21" s="69">
        <f t="shared" si="5"/>
        <v>0</v>
      </c>
      <c r="I21" s="76">
        <f t="shared" si="6"/>
        <v>9758.2417582417547</v>
      </c>
      <c r="J21" s="76">
        <f t="shared" si="7"/>
        <v>19516.483516483509</v>
      </c>
    </row>
    <row r="22" spans="1:10">
      <c r="A22" s="4" t="s">
        <v>200</v>
      </c>
      <c r="B22" s="4"/>
      <c r="C22" s="4"/>
      <c r="D22" s="72">
        <f t="shared" ref="D22:J22" si="8">SUM(D16:D21)</f>
        <v>-1309023.8095238097</v>
      </c>
      <c r="E22" s="72">
        <f t="shared" si="8"/>
        <v>-981767.85714285751</v>
      </c>
      <c r="F22" s="72">
        <f t="shared" si="8"/>
        <v>-654511.90476190485</v>
      </c>
      <c r="G22" s="72">
        <f t="shared" si="8"/>
        <v>-327255.95238095277</v>
      </c>
      <c r="H22" s="72">
        <f t="shared" si="8"/>
        <v>0</v>
      </c>
      <c r="I22" s="72">
        <f t="shared" si="8"/>
        <v>327255.95238095266</v>
      </c>
      <c r="J22" s="72">
        <f t="shared" si="8"/>
        <v>654511.90476190485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L18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2" width="16" customWidth="1"/>
    <col min="3" max="3" width="18" customWidth="1"/>
    <col min="4" max="4" width="16" customWidth="1"/>
    <col min="5" max="7" width="22" customWidth="1"/>
    <col min="8" max="9" width="24" customWidth="1"/>
    <col min="10" max="10" width="22" customWidth="1"/>
    <col min="11" max="11" width="24" customWidth="1"/>
    <col min="12" max="12" width="20" customWidth="1"/>
  </cols>
  <sheetData>
    <row r="1" spans="1:12" ht="18">
      <c r="A1" s="1" t="s">
        <v>201</v>
      </c>
    </row>
    <row r="2" spans="1:12">
      <c r="A2" s="2" t="s">
        <v>202</v>
      </c>
    </row>
    <row r="3" spans="1:12">
      <c r="A3" s="38" t="s">
        <v>203</v>
      </c>
    </row>
    <row r="5" spans="1:12" ht="29">
      <c r="A5" s="4" t="s">
        <v>137</v>
      </c>
      <c r="B5" s="4" t="s">
        <v>190</v>
      </c>
      <c r="C5" s="4" t="s">
        <v>204</v>
      </c>
      <c r="D5" s="4" t="s">
        <v>205</v>
      </c>
      <c r="E5" s="4" t="s">
        <v>206</v>
      </c>
      <c r="F5" s="4" t="s">
        <v>207</v>
      </c>
      <c r="G5" s="4" t="s">
        <v>208</v>
      </c>
      <c r="H5" s="4" t="s">
        <v>209</v>
      </c>
      <c r="I5" s="4" t="s">
        <v>210</v>
      </c>
      <c r="J5" s="4" t="s">
        <v>211</v>
      </c>
      <c r="K5" s="4" t="s">
        <v>212</v>
      </c>
      <c r="L5" s="4" t="s">
        <v>213</v>
      </c>
    </row>
    <row r="6" spans="1:12">
      <c r="A6" s="57" t="s">
        <v>114</v>
      </c>
      <c r="B6" s="77">
        <f>'Volume Scaling'!B5</f>
        <v>50000</v>
      </c>
      <c r="C6" s="59">
        <v>0.03</v>
      </c>
      <c r="D6" s="78">
        <f t="shared" ref="D6:D11" si="0">B6*C6</f>
        <v>1500</v>
      </c>
      <c r="E6" s="79">
        <v>500</v>
      </c>
      <c r="F6" s="79">
        <v>5000</v>
      </c>
      <c r="G6" s="79">
        <v>50000</v>
      </c>
      <c r="H6" s="74">
        <f t="shared" ref="H6:H11" si="1">D6*E6</f>
        <v>750000</v>
      </c>
      <c r="I6" s="74">
        <f t="shared" ref="I6:I11" si="2">D6*F6</f>
        <v>7500000</v>
      </c>
      <c r="J6" s="80">
        <f>'Volume Scaling'!H5</f>
        <v>1364229.4914387937</v>
      </c>
      <c r="K6" s="81">
        <f t="shared" ref="K6:K11" si="3">J6-H6</f>
        <v>614229.49143879372</v>
      </c>
      <c r="L6" s="82">
        <f t="shared" ref="L6:L11" si="4">IF(B6*E6=0,0,J6/(B6*E6))</f>
        <v>5.4569179657551752E-2</v>
      </c>
    </row>
    <row r="7" spans="1:12">
      <c r="A7" s="66" t="s">
        <v>115</v>
      </c>
      <c r="B7" s="77">
        <f>'Volume Scaling'!B6</f>
        <v>200000</v>
      </c>
      <c r="C7" s="59">
        <v>0.05</v>
      </c>
      <c r="D7" s="78">
        <f t="shared" si="0"/>
        <v>10000</v>
      </c>
      <c r="E7" s="79">
        <v>50</v>
      </c>
      <c r="F7" s="79">
        <v>500</v>
      </c>
      <c r="G7" s="79">
        <v>10000</v>
      </c>
      <c r="H7" s="74">
        <f t="shared" si="1"/>
        <v>500000</v>
      </c>
      <c r="I7" s="74">
        <f t="shared" si="2"/>
        <v>5000000</v>
      </c>
      <c r="J7" s="80">
        <f>'Volume Scaling'!H6</f>
        <v>686477.55345429759</v>
      </c>
      <c r="K7" s="81">
        <f t="shared" si="3"/>
        <v>186477.55345429759</v>
      </c>
      <c r="L7" s="82">
        <f t="shared" si="4"/>
        <v>6.8647755345429759E-2</v>
      </c>
    </row>
    <row r="8" spans="1:12">
      <c r="A8" s="57" t="s">
        <v>116</v>
      </c>
      <c r="B8" s="77">
        <f>'Volume Scaling'!B7</f>
        <v>15000</v>
      </c>
      <c r="C8" s="59">
        <v>0.02</v>
      </c>
      <c r="D8" s="78">
        <f t="shared" si="0"/>
        <v>300</v>
      </c>
      <c r="E8" s="79">
        <v>2000</v>
      </c>
      <c r="F8" s="79">
        <v>20000</v>
      </c>
      <c r="G8" s="79">
        <v>200000</v>
      </c>
      <c r="H8" s="74">
        <f t="shared" si="1"/>
        <v>600000</v>
      </c>
      <c r="I8" s="74">
        <f t="shared" si="2"/>
        <v>6000000</v>
      </c>
      <c r="J8" s="80">
        <f>'Volume Scaling'!H7</f>
        <v>609231.72757475078</v>
      </c>
      <c r="K8" s="83">
        <f t="shared" si="3"/>
        <v>9231.7275747507811</v>
      </c>
      <c r="L8" s="82">
        <f t="shared" si="4"/>
        <v>2.0307724252491693E-2</v>
      </c>
    </row>
    <row r="9" spans="1:12">
      <c r="A9" s="66" t="s">
        <v>117</v>
      </c>
      <c r="B9" s="77">
        <f>'Volume Scaling'!B8</f>
        <v>80000</v>
      </c>
      <c r="C9" s="59">
        <v>0.04</v>
      </c>
      <c r="D9" s="78">
        <f t="shared" si="0"/>
        <v>3200</v>
      </c>
      <c r="E9" s="79">
        <v>200</v>
      </c>
      <c r="F9" s="79">
        <v>2000</v>
      </c>
      <c r="G9" s="79">
        <v>25000</v>
      </c>
      <c r="H9" s="74">
        <f t="shared" si="1"/>
        <v>640000</v>
      </c>
      <c r="I9" s="74">
        <f t="shared" si="2"/>
        <v>6400000</v>
      </c>
      <c r="J9" s="80">
        <f>'Volume Scaling'!H8</f>
        <v>1359270.1252236136</v>
      </c>
      <c r="K9" s="81">
        <f t="shared" si="3"/>
        <v>719270.12522361358</v>
      </c>
      <c r="L9" s="82">
        <f t="shared" si="4"/>
        <v>8.4954382826475855E-2</v>
      </c>
    </row>
    <row r="10" spans="1:12">
      <c r="A10" s="57" t="s">
        <v>118</v>
      </c>
      <c r="B10" s="77">
        <f>'Volume Scaling'!B9</f>
        <v>5000</v>
      </c>
      <c r="C10" s="59">
        <v>0.02</v>
      </c>
      <c r="D10" s="78">
        <f t="shared" si="0"/>
        <v>100</v>
      </c>
      <c r="E10" s="79">
        <v>1000</v>
      </c>
      <c r="F10" s="79">
        <v>15000</v>
      </c>
      <c r="G10" s="79">
        <v>500000</v>
      </c>
      <c r="H10" s="74">
        <f t="shared" si="1"/>
        <v>100000</v>
      </c>
      <c r="I10" s="74">
        <f t="shared" si="2"/>
        <v>1500000</v>
      </c>
      <c r="J10" s="80">
        <f>'Volume Scaling'!H9</f>
        <v>300046.95885509835</v>
      </c>
      <c r="K10" s="81">
        <f t="shared" si="3"/>
        <v>200046.95885509835</v>
      </c>
      <c r="L10" s="82">
        <f t="shared" si="4"/>
        <v>6.0009391771019667E-2</v>
      </c>
    </row>
    <row r="11" spans="1:12">
      <c r="A11" s="66" t="s">
        <v>119</v>
      </c>
      <c r="B11" s="77">
        <f>'Volume Scaling'!B10</f>
        <v>2000</v>
      </c>
      <c r="C11" s="59">
        <v>0.01</v>
      </c>
      <c r="D11" s="78">
        <f t="shared" si="0"/>
        <v>20</v>
      </c>
      <c r="E11" s="79">
        <v>100</v>
      </c>
      <c r="F11" s="79">
        <v>1000</v>
      </c>
      <c r="G11" s="79">
        <v>5000</v>
      </c>
      <c r="H11" s="74">
        <f t="shared" si="1"/>
        <v>2000</v>
      </c>
      <c r="I11" s="74">
        <f t="shared" si="2"/>
        <v>20000</v>
      </c>
      <c r="J11" s="80">
        <f>'Volume Scaling'!H10</f>
        <v>165518.01686685404</v>
      </c>
      <c r="K11" s="81">
        <f t="shared" si="3"/>
        <v>163518.01686685404</v>
      </c>
      <c r="L11" s="82">
        <f t="shared" si="4"/>
        <v>0.82759008433427017</v>
      </c>
    </row>
    <row r="12" spans="1:12">
      <c r="A12" s="4" t="s">
        <v>198</v>
      </c>
      <c r="B12" s="71">
        <f>SUM(B6:B11)</f>
        <v>352000</v>
      </c>
      <c r="C12" s="4"/>
      <c r="D12" s="72">
        <f>SUM(D6:D11)</f>
        <v>15120</v>
      </c>
      <c r="E12" s="4"/>
      <c r="F12" s="4"/>
      <c r="G12" s="4"/>
      <c r="H12" s="72">
        <f>SUM(H6:H11)</f>
        <v>2592000</v>
      </c>
      <c r="I12" s="72">
        <f>SUM(I6:I11)</f>
        <v>26420000</v>
      </c>
      <c r="J12" s="72">
        <f>SUM(J6:J11)</f>
        <v>4484773.8734134082</v>
      </c>
      <c r="K12" s="72">
        <f>SUM(K6:K11)</f>
        <v>1892773.8734134082</v>
      </c>
      <c r="L12" s="4"/>
    </row>
    <row r="14" spans="1:12" ht="16">
      <c r="A14" s="3" t="s">
        <v>214</v>
      </c>
    </row>
    <row r="15" spans="1:12">
      <c r="A15" s="2" t="s">
        <v>215</v>
      </c>
    </row>
    <row r="16" spans="1:12">
      <c r="A16" s="2" t="s">
        <v>216</v>
      </c>
    </row>
    <row r="17" spans="1:1">
      <c r="A17" s="2" t="s">
        <v>217</v>
      </c>
    </row>
    <row r="18" spans="1:1">
      <c r="A18" s="2" t="s">
        <v>218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04040"/>
  </sheetPr>
  <dimension ref="A1:E33"/>
  <sheetViews>
    <sheetView zoomScaleNormal="100" workbookViewId="0"/>
  </sheetViews>
  <sheetFormatPr baseColWidth="10" defaultColWidth="8.6640625" defaultRowHeight="15" customHeight="1"/>
  <cols>
    <col min="1" max="1" width="40" customWidth="1"/>
    <col min="2" max="4" width="22" customWidth="1"/>
    <col min="5" max="5" width="55" customWidth="1"/>
  </cols>
  <sheetData>
    <row r="1" spans="1:5" ht="18">
      <c r="A1" s="1" t="s">
        <v>219</v>
      </c>
    </row>
    <row r="2" spans="1:5">
      <c r="A2" s="2" t="s">
        <v>220</v>
      </c>
    </row>
    <row r="4" spans="1:5" ht="16">
      <c r="A4" s="3" t="s">
        <v>221</v>
      </c>
    </row>
    <row r="6" spans="1:5">
      <c r="A6" s="4" t="s">
        <v>222</v>
      </c>
      <c r="B6" s="4" t="s">
        <v>223</v>
      </c>
      <c r="C6" s="4" t="s">
        <v>224</v>
      </c>
      <c r="D6" s="4" t="s">
        <v>225</v>
      </c>
      <c r="E6" s="4" t="s">
        <v>11</v>
      </c>
    </row>
    <row r="7" spans="1:5">
      <c r="A7" s="57" t="s">
        <v>226</v>
      </c>
      <c r="B7" s="79">
        <v>150000</v>
      </c>
      <c r="C7" s="79">
        <v>250000</v>
      </c>
      <c r="D7" s="79">
        <v>400000</v>
      </c>
      <c r="E7" s="84" t="s">
        <v>227</v>
      </c>
    </row>
    <row r="8" spans="1:5">
      <c r="A8" s="66" t="s">
        <v>228</v>
      </c>
      <c r="B8" s="79">
        <v>200000</v>
      </c>
      <c r="C8" s="79">
        <v>350000</v>
      </c>
      <c r="D8" s="79">
        <v>500000</v>
      </c>
      <c r="E8" s="84" t="s">
        <v>229</v>
      </c>
    </row>
    <row r="9" spans="1:5">
      <c r="A9" s="57" t="s">
        <v>230</v>
      </c>
      <c r="B9" s="79">
        <v>100000</v>
      </c>
      <c r="C9" s="79">
        <v>200000</v>
      </c>
      <c r="D9" s="79">
        <v>300000</v>
      </c>
      <c r="E9" s="84" t="s">
        <v>231</v>
      </c>
    </row>
    <row r="10" spans="1:5">
      <c r="A10" s="66" t="s">
        <v>232</v>
      </c>
      <c r="B10" s="79">
        <v>100000</v>
      </c>
      <c r="C10" s="79">
        <v>150000</v>
      </c>
      <c r="D10" s="79">
        <v>250000</v>
      </c>
      <c r="E10" s="84" t="s">
        <v>233</v>
      </c>
    </row>
    <row r="11" spans="1:5">
      <c r="A11" s="57" t="s">
        <v>234</v>
      </c>
      <c r="B11" s="79">
        <v>150000</v>
      </c>
      <c r="C11" s="79">
        <v>250000</v>
      </c>
      <c r="D11" s="79">
        <v>400000</v>
      </c>
      <c r="E11" s="84" t="s">
        <v>235</v>
      </c>
    </row>
    <row r="12" spans="1:5">
      <c r="A12" s="66" t="s">
        <v>236</v>
      </c>
      <c r="B12" s="79">
        <v>75000</v>
      </c>
      <c r="C12" s="79">
        <v>125000</v>
      </c>
      <c r="D12" s="79">
        <v>200000</v>
      </c>
      <c r="E12" s="84" t="s">
        <v>237</v>
      </c>
    </row>
    <row r="13" spans="1:5">
      <c r="A13" s="85" t="s">
        <v>238</v>
      </c>
      <c r="B13" s="86">
        <f>SUM(B7:B12)*0.15</f>
        <v>116250</v>
      </c>
      <c r="C13" s="86">
        <f>SUM(C7:C12)*0.15</f>
        <v>198750</v>
      </c>
      <c r="D13" s="86">
        <f>SUM(D7:D12)*0.15</f>
        <v>307500</v>
      </c>
      <c r="E13" s="84" t="s">
        <v>239</v>
      </c>
    </row>
    <row r="14" spans="1:5">
      <c r="A14" s="87" t="s">
        <v>240</v>
      </c>
      <c r="B14" s="72">
        <f>SUM(B7:B13)</f>
        <v>891250</v>
      </c>
      <c r="C14" s="72">
        <f>SUM(C7:C13)</f>
        <v>1523750</v>
      </c>
      <c r="D14" s="72">
        <f>SUM(D7:D13)</f>
        <v>2357500</v>
      </c>
      <c r="E14" s="4"/>
    </row>
    <row r="16" spans="1:5" ht="16">
      <c r="A16" s="3" t="s">
        <v>241</v>
      </c>
    </row>
    <row r="18" spans="1:5">
      <c r="A18" s="4" t="s">
        <v>222</v>
      </c>
      <c r="B18" s="4" t="s">
        <v>242</v>
      </c>
      <c r="C18" s="4" t="s">
        <v>243</v>
      </c>
      <c r="D18" s="4" t="s">
        <v>244</v>
      </c>
      <c r="E18" s="4" t="s">
        <v>11</v>
      </c>
    </row>
    <row r="19" spans="1:5">
      <c r="A19" s="66" t="s">
        <v>245</v>
      </c>
      <c r="B19" s="79">
        <v>180000</v>
      </c>
      <c r="C19" s="79">
        <v>270000</v>
      </c>
      <c r="D19" s="79">
        <v>360000</v>
      </c>
      <c r="E19" s="84" t="s">
        <v>246</v>
      </c>
    </row>
    <row r="20" spans="1:5">
      <c r="A20" s="66" t="s">
        <v>247</v>
      </c>
      <c r="B20" s="79">
        <v>75000</v>
      </c>
      <c r="C20" s="79">
        <v>125000</v>
      </c>
      <c r="D20" s="79">
        <v>200000</v>
      </c>
      <c r="E20" s="84" t="s">
        <v>248</v>
      </c>
    </row>
    <row r="21" spans="1:5">
      <c r="A21" s="66" t="s">
        <v>249</v>
      </c>
      <c r="B21" s="80">
        <f>'Volume Scaling'!F11</f>
        <v>2060345.1742056394</v>
      </c>
      <c r="C21" s="80">
        <f>'Volume Scaling'!F11</f>
        <v>2060345.1742056394</v>
      </c>
      <c r="D21" s="80">
        <f>'Volume Scaling'!F11</f>
        <v>2060345.1742056394</v>
      </c>
      <c r="E21" s="84" t="s">
        <v>250</v>
      </c>
    </row>
    <row r="22" spans="1:5">
      <c r="A22" s="66" t="s">
        <v>251</v>
      </c>
      <c r="B22" s="79">
        <v>50000</v>
      </c>
      <c r="C22" s="79">
        <v>80000</v>
      </c>
      <c r="D22" s="79">
        <v>120000</v>
      </c>
      <c r="E22" s="84" t="s">
        <v>252</v>
      </c>
    </row>
    <row r="23" spans="1:5">
      <c r="A23" s="66" t="s">
        <v>253</v>
      </c>
      <c r="B23" s="79">
        <v>40000</v>
      </c>
      <c r="C23" s="79">
        <v>60000</v>
      </c>
      <c r="D23" s="79">
        <v>100000</v>
      </c>
      <c r="E23" s="84" t="s">
        <v>254</v>
      </c>
    </row>
    <row r="24" spans="1:5">
      <c r="A24" s="87" t="s">
        <v>255</v>
      </c>
      <c r="B24" s="72">
        <f>SUM(B19:B23)</f>
        <v>2405345.1742056394</v>
      </c>
      <c r="C24" s="72">
        <f>SUM(C19:C23)</f>
        <v>2595345.1742056394</v>
      </c>
      <c r="D24" s="72">
        <f>SUM(D19:D23)</f>
        <v>2840345.1742056394</v>
      </c>
      <c r="E24" s="4"/>
    </row>
    <row r="26" spans="1:5" ht="16">
      <c r="A26" s="3" t="s">
        <v>256</v>
      </c>
    </row>
    <row r="28" spans="1:5">
      <c r="A28" s="4" t="s">
        <v>257</v>
      </c>
      <c r="B28" s="4" t="s">
        <v>258</v>
      </c>
      <c r="C28" s="4" t="s">
        <v>259</v>
      </c>
      <c r="D28" s="4" t="s">
        <v>260</v>
      </c>
      <c r="E28" s="4" t="s">
        <v>11</v>
      </c>
    </row>
    <row r="29" spans="1:5">
      <c r="A29" s="66" t="s">
        <v>261</v>
      </c>
      <c r="B29" s="80">
        <f>'Volume Scaling'!H11</f>
        <v>4484773.8734134082</v>
      </c>
      <c r="C29" s="80">
        <f>'Volume Scaling'!H11</f>
        <v>4484773.8734134082</v>
      </c>
      <c r="D29" s="80">
        <f>'Volume Scaling'!H11</f>
        <v>4484773.8734134082</v>
      </c>
      <c r="E29" s="84" t="s">
        <v>262</v>
      </c>
    </row>
    <row r="30" spans="1:5">
      <c r="A30" s="66" t="s">
        <v>263</v>
      </c>
      <c r="B30" s="88">
        <f>D24</f>
        <v>2840345.1742056394</v>
      </c>
      <c r="C30" s="88">
        <f>C24</f>
        <v>2595345.1742056394</v>
      </c>
      <c r="D30" s="88">
        <f>B24</f>
        <v>2405345.1742056394</v>
      </c>
    </row>
    <row r="31" spans="1:5">
      <c r="A31" s="89" t="s">
        <v>264</v>
      </c>
      <c r="B31" s="81">
        <f>B29-B30</f>
        <v>1644428.6992077688</v>
      </c>
      <c r="C31" s="81">
        <f>C29-C30</f>
        <v>1889428.6992077688</v>
      </c>
      <c r="D31" s="81">
        <f>D29-D30</f>
        <v>2079428.6992077688</v>
      </c>
    </row>
    <row r="32" spans="1:5">
      <c r="A32" s="66" t="s">
        <v>265</v>
      </c>
      <c r="B32" s="88">
        <f>D14</f>
        <v>2357500</v>
      </c>
      <c r="C32" s="88">
        <f>C14</f>
        <v>1523750</v>
      </c>
      <c r="D32" s="88">
        <f>B14</f>
        <v>891250</v>
      </c>
    </row>
    <row r="33" spans="1:4">
      <c r="A33" s="90" t="s">
        <v>266</v>
      </c>
      <c r="B33" s="91">
        <f>IF(B31&lt;=0,"N/A",B32/B31*12)</f>
        <v>17.203543098967554</v>
      </c>
      <c r="C33" s="91">
        <f>IF(C31&lt;=0,"N/A",C32/C31*12)</f>
        <v>9.6775284548534906</v>
      </c>
      <c r="D33" s="91">
        <f>IF(D31&lt;=0,"N/A",D32/D31*12)</f>
        <v>5.1432395850238262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M26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13" width="14" customWidth="1"/>
  </cols>
  <sheetData>
    <row r="1" spans="1:8" ht="17.25" customHeight="1">
      <c r="A1" s="1" t="s">
        <v>267</v>
      </c>
    </row>
    <row r="2" spans="1:8" ht="15" customHeight="1">
      <c r="A2" s="2" t="s">
        <v>268</v>
      </c>
    </row>
    <row r="4" spans="1:8" ht="15" customHeight="1">
      <c r="A4" t="s">
        <v>269</v>
      </c>
      <c r="B4" s="92">
        <v>5</v>
      </c>
    </row>
    <row r="5" spans="1:8" ht="15" customHeight="1">
      <c r="A5" t="s">
        <v>157</v>
      </c>
      <c r="B5" s="46">
        <f>Assumptions!B27</f>
        <v>1.29</v>
      </c>
    </row>
    <row r="7" spans="1:8" ht="15" customHeight="1">
      <c r="A7" s="3" t="s">
        <v>270</v>
      </c>
    </row>
    <row r="9" spans="1:8" ht="34.5" customHeight="1">
      <c r="A9" s="4" t="s">
        <v>137</v>
      </c>
      <c r="B9" s="4" t="s">
        <v>271</v>
      </c>
      <c r="C9" s="4" t="s">
        <v>272</v>
      </c>
      <c r="D9" s="4" t="s">
        <v>273</v>
      </c>
      <c r="E9" s="4" t="s">
        <v>274</v>
      </c>
      <c r="F9" s="4" t="s">
        <v>275</v>
      </c>
      <c r="G9" s="4" t="s">
        <v>276</v>
      </c>
      <c r="H9" s="4" t="s">
        <v>277</v>
      </c>
    </row>
    <row r="10" spans="1:8" ht="15" customHeight="1">
      <c r="A10" s="93" t="str">
        <f>'Process Comparison'!A10</f>
        <v>KYC / Onboarding Check</v>
      </c>
      <c r="B10" s="94">
        <f>'Process Comparison'!D10</f>
        <v>36.593406593406591</v>
      </c>
      <c r="C10" s="25">
        <f>'Process Comparison'!G10*'Process Comparison'!I10</f>
        <v>24000</v>
      </c>
      <c r="D10" s="25">
        <f>'Process Comparison'!H10*'Process Comparison'!I10</f>
        <v>9000</v>
      </c>
      <c r="E10" s="95">
        <f t="shared" ref="E10:E15" si="0">B10*$B$5*1000000/(C10+D10*$B$4)</f>
        <v>684.13760152890586</v>
      </c>
      <c r="F10" s="96">
        <f>'Process Comparison'!$B$5</f>
        <v>3</v>
      </c>
      <c r="G10" s="94">
        <f>'Process Comparison'!J10</f>
        <v>0.16046511627906979</v>
      </c>
      <c r="H10" s="97">
        <f t="shared" ref="H10:H15" si="1">E10/F10</f>
        <v>228.04586717630195</v>
      </c>
    </row>
    <row r="11" spans="1:8" ht="15" customHeight="1">
      <c r="A11" s="98" t="str">
        <f>'Process Comparison'!A11</f>
        <v>Fraud Alert Triage</v>
      </c>
      <c r="B11" s="99">
        <f>'Process Comparison'!D11</f>
        <v>4.3369963369963367</v>
      </c>
      <c r="C11" s="29">
        <f>'Process Comparison'!G11*'Process Comparison'!I11</f>
        <v>6000</v>
      </c>
      <c r="D11" s="29">
        <f>'Process Comparison'!H11*'Process Comparison'!I11</f>
        <v>2000</v>
      </c>
      <c r="E11" s="95">
        <f t="shared" si="0"/>
        <v>349.67032967032969</v>
      </c>
      <c r="F11" s="100">
        <f>'Process Comparison'!$B$5</f>
        <v>3</v>
      </c>
      <c r="G11" s="99">
        <f>'Process Comparison'!J11</f>
        <v>3.7209302325581395E-2</v>
      </c>
      <c r="H11" s="97">
        <f t="shared" si="1"/>
        <v>116.55677655677657</v>
      </c>
    </row>
    <row r="12" spans="1:8" ht="15" customHeight="1">
      <c r="A12" s="93" t="str">
        <f>'Process Comparison'!A12</f>
        <v>Mortgage Application Review</v>
      </c>
      <c r="B12" s="94">
        <f>'Process Comparison'!D12</f>
        <v>63.021978021978022</v>
      </c>
      <c r="C12" s="25">
        <f>'Process Comparison'!G12*'Process Comparison'!I12</f>
        <v>50000</v>
      </c>
      <c r="D12" s="25">
        <f>'Process Comparison'!H12*'Process Comparison'!I12</f>
        <v>20000</v>
      </c>
      <c r="E12" s="95">
        <f t="shared" si="0"/>
        <v>541.98901098901104</v>
      </c>
      <c r="F12" s="96">
        <f>'Process Comparison'!$B$5</f>
        <v>3</v>
      </c>
      <c r="G12" s="94">
        <f>'Process Comparison'!J12</f>
        <v>0.34883720930232553</v>
      </c>
      <c r="H12" s="97">
        <f t="shared" si="1"/>
        <v>180.66300366300368</v>
      </c>
    </row>
    <row r="13" spans="1:8" ht="15" customHeight="1">
      <c r="A13" s="98" t="str">
        <f>'Process Comparison'!A13</f>
        <v>Customer Complaint Resolution</v>
      </c>
      <c r="B13" s="99">
        <f>'Process Comparison'!D13</f>
        <v>28.46153846153846</v>
      </c>
      <c r="C13" s="29">
        <f>'Process Comparison'!G13*'Process Comparison'!I13</f>
        <v>12000</v>
      </c>
      <c r="D13" s="29">
        <f>'Process Comparison'!H13*'Process Comparison'!I13</f>
        <v>5000</v>
      </c>
      <c r="E13" s="95">
        <f t="shared" si="0"/>
        <v>992.30769230769238</v>
      </c>
      <c r="F13" s="100">
        <f>'Process Comparison'!$B$5</f>
        <v>3</v>
      </c>
      <c r="G13" s="99">
        <f>'Process Comparison'!J13</f>
        <v>8.6046511627906969E-2</v>
      </c>
      <c r="H13" s="97">
        <f t="shared" si="1"/>
        <v>330.76923076923077</v>
      </c>
    </row>
    <row r="14" spans="1:8" ht="15" customHeight="1">
      <c r="A14" s="93" t="str">
        <f>'Process Comparison'!A14</f>
        <v>Regulatory Document Review</v>
      </c>
      <c r="B14" s="94">
        <f>'Process Comparison'!D14</f>
        <v>86.126373626373621</v>
      </c>
      <c r="C14" s="25">
        <f>'Process Comparison'!G14*'Process Comparison'!I14</f>
        <v>45000</v>
      </c>
      <c r="D14" s="25">
        <f>'Process Comparison'!H14*'Process Comparison'!I14</f>
        <v>15000</v>
      </c>
      <c r="E14" s="95">
        <f t="shared" si="0"/>
        <v>925.85851648351638</v>
      </c>
      <c r="F14" s="96">
        <f>'Process Comparison'!$B$5</f>
        <v>3</v>
      </c>
      <c r="G14" s="94">
        <f>'Process Comparison'!J14</f>
        <v>0.27906976744186046</v>
      </c>
      <c r="H14" s="97">
        <f t="shared" si="1"/>
        <v>308.61950549450546</v>
      </c>
    </row>
    <row r="15" spans="1:8" ht="15" customHeight="1">
      <c r="A15" s="98" t="str">
        <f>'Process Comparison'!A15</f>
        <v>MI / Management Reporting</v>
      </c>
      <c r="B15" s="99">
        <f>'Process Comparison'!D15</f>
        <v>97.582417582417577</v>
      </c>
      <c r="C15" s="29">
        <f>'Process Comparison'!G15*'Process Comparison'!I15</f>
        <v>20000</v>
      </c>
      <c r="D15" s="29">
        <f>'Process Comparison'!H15*'Process Comparison'!I15</f>
        <v>12000</v>
      </c>
      <c r="E15" s="95">
        <f t="shared" si="0"/>
        <v>1573.5164835164833</v>
      </c>
      <c r="F15" s="100">
        <f>'Process Comparison'!$B$5</f>
        <v>3</v>
      </c>
      <c r="G15" s="99">
        <f>'Process Comparison'!J15</f>
        <v>0.18604651162790697</v>
      </c>
      <c r="H15" s="97">
        <f t="shared" si="1"/>
        <v>524.50549450549443</v>
      </c>
    </row>
    <row r="18" spans="1:13" ht="15" customHeight="1">
      <c r="A18" s="3" t="s">
        <v>278</v>
      </c>
    </row>
    <row r="19" spans="1:13" ht="15" customHeight="1">
      <c r="B19" s="101">
        <v>0.1</v>
      </c>
      <c r="C19" s="101">
        <v>0.25</v>
      </c>
      <c r="D19" s="101">
        <v>0.5</v>
      </c>
      <c r="E19" s="101">
        <v>1</v>
      </c>
      <c r="F19" s="101">
        <v>2</v>
      </c>
      <c r="G19" s="101">
        <v>3</v>
      </c>
      <c r="H19" s="101">
        <v>5</v>
      </c>
      <c r="I19" s="101">
        <v>10</v>
      </c>
      <c r="J19" s="101">
        <v>15</v>
      </c>
      <c r="K19" s="101">
        <v>25</v>
      </c>
      <c r="L19" s="101">
        <v>50</v>
      </c>
    </row>
    <row r="20" spans="1:13" ht="15" customHeight="1">
      <c r="A20" s="4" t="s">
        <v>279</v>
      </c>
      <c r="B20" s="4" t="s">
        <v>280</v>
      </c>
      <c r="C20" s="4" t="s">
        <v>281</v>
      </c>
      <c r="D20" s="4" t="s">
        <v>282</v>
      </c>
      <c r="E20" s="4" t="s">
        <v>283</v>
      </c>
      <c r="F20" s="4" t="s">
        <v>284</v>
      </c>
      <c r="G20" s="4" t="s">
        <v>285</v>
      </c>
      <c r="H20" s="4" t="s">
        <v>286</v>
      </c>
      <c r="I20" s="4" t="s">
        <v>287</v>
      </c>
      <c r="J20" s="4" t="s">
        <v>288</v>
      </c>
      <c r="K20" s="4" t="s">
        <v>289</v>
      </c>
      <c r="L20" s="4" t="s">
        <v>290</v>
      </c>
      <c r="M20" s="102" t="s">
        <v>291</v>
      </c>
    </row>
    <row r="21" spans="1:13" ht="15" customHeight="1">
      <c r="A21" s="31" t="str">
        <f>'Process Comparison'!A10</f>
        <v>KYC / Onboarding Check</v>
      </c>
      <c r="B21" s="103">
        <f t="shared" ref="B21:L21" si="2">(($C$10*B$19+$D$10*B$19*$B$4)/1000000)/$B$5</f>
        <v>5.348837209302325E-3</v>
      </c>
      <c r="C21" s="103">
        <f t="shared" si="2"/>
        <v>1.3372093023255816E-2</v>
      </c>
      <c r="D21" s="103">
        <f t="shared" si="2"/>
        <v>2.6744186046511631E-2</v>
      </c>
      <c r="E21" s="103">
        <f t="shared" si="2"/>
        <v>5.3488372093023262E-2</v>
      </c>
      <c r="F21" s="103">
        <f t="shared" si="2"/>
        <v>0.10697674418604652</v>
      </c>
      <c r="G21" s="103">
        <f t="shared" si="2"/>
        <v>0.16046511627906976</v>
      </c>
      <c r="H21" s="103">
        <f t="shared" si="2"/>
        <v>0.26744186046511625</v>
      </c>
      <c r="I21" s="103">
        <f t="shared" si="2"/>
        <v>0.53488372093023251</v>
      </c>
      <c r="J21" s="103">
        <f t="shared" si="2"/>
        <v>0.80232558139534871</v>
      </c>
      <c r="K21" s="103">
        <f t="shared" si="2"/>
        <v>1.3372093023255813</v>
      </c>
      <c r="L21" s="103">
        <f t="shared" si="2"/>
        <v>2.6744186046511627</v>
      </c>
      <c r="M21" s="104">
        <f t="shared" ref="M21:M26" si="3">B10</f>
        <v>36.593406593406591</v>
      </c>
    </row>
    <row r="22" spans="1:13" ht="15" customHeight="1">
      <c r="A22" s="35" t="str">
        <f>'Process Comparison'!A11</f>
        <v>Fraud Alert Triage</v>
      </c>
      <c r="B22" s="105">
        <f t="shared" ref="B22:L22" si="4">(($C$11*B$19+$D$11*B$19*$B$4)/1000000)/$B$5</f>
        <v>1.2403100775193799E-3</v>
      </c>
      <c r="C22" s="105">
        <f t="shared" si="4"/>
        <v>3.1007751937984496E-3</v>
      </c>
      <c r="D22" s="105">
        <f t="shared" si="4"/>
        <v>6.2015503875968991E-3</v>
      </c>
      <c r="E22" s="105">
        <f t="shared" si="4"/>
        <v>1.2403100775193798E-2</v>
      </c>
      <c r="F22" s="105">
        <f t="shared" si="4"/>
        <v>2.4806201550387597E-2</v>
      </c>
      <c r="G22" s="105">
        <f t="shared" si="4"/>
        <v>3.7209302325581395E-2</v>
      </c>
      <c r="H22" s="105">
        <f t="shared" si="4"/>
        <v>6.2015503875968991E-2</v>
      </c>
      <c r="I22" s="105">
        <f t="shared" si="4"/>
        <v>0.12403100775193798</v>
      </c>
      <c r="J22" s="105">
        <f t="shared" si="4"/>
        <v>0.18604651162790697</v>
      </c>
      <c r="K22" s="105">
        <f t="shared" si="4"/>
        <v>0.31007751937984496</v>
      </c>
      <c r="L22" s="105">
        <f t="shared" si="4"/>
        <v>0.62015503875968991</v>
      </c>
      <c r="M22" s="104">
        <f t="shared" si="3"/>
        <v>4.3369963369963367</v>
      </c>
    </row>
    <row r="23" spans="1:13" ht="15" customHeight="1">
      <c r="A23" s="31" t="str">
        <f>'Process Comparison'!A12</f>
        <v>Mortgage Application Review</v>
      </c>
      <c r="B23" s="103">
        <f t="shared" ref="B23:L23" si="5">(($C$12*B$19+$D$12*B$19*$B$4)/1000000)/$B$5</f>
        <v>1.1627906976744186E-2</v>
      </c>
      <c r="C23" s="103">
        <f t="shared" si="5"/>
        <v>2.9069767441860465E-2</v>
      </c>
      <c r="D23" s="103">
        <f t="shared" si="5"/>
        <v>5.8139534883720929E-2</v>
      </c>
      <c r="E23" s="103">
        <f t="shared" si="5"/>
        <v>0.11627906976744186</v>
      </c>
      <c r="F23" s="103">
        <f t="shared" si="5"/>
        <v>0.23255813953488372</v>
      </c>
      <c r="G23" s="103">
        <f t="shared" si="5"/>
        <v>0.34883720930232559</v>
      </c>
      <c r="H23" s="103">
        <f t="shared" si="5"/>
        <v>0.58139534883720934</v>
      </c>
      <c r="I23" s="103">
        <f t="shared" si="5"/>
        <v>1.1627906976744187</v>
      </c>
      <c r="J23" s="103">
        <f t="shared" si="5"/>
        <v>1.7441860465116279</v>
      </c>
      <c r="K23" s="103">
        <f t="shared" si="5"/>
        <v>2.9069767441860463</v>
      </c>
      <c r="L23" s="103">
        <f t="shared" si="5"/>
        <v>5.8139534883720927</v>
      </c>
      <c r="M23" s="104">
        <f t="shared" si="3"/>
        <v>63.021978021978022</v>
      </c>
    </row>
    <row r="24" spans="1:13" ht="15" customHeight="1">
      <c r="A24" s="35" t="str">
        <f>'Process Comparison'!A13</f>
        <v>Customer Complaint Resolution</v>
      </c>
      <c r="B24" s="105">
        <f t="shared" ref="B24:L24" si="6">(($C$13*B$19+$D$13*B$19*$B$4)/1000000)/$B$5</f>
        <v>2.868217054263566E-3</v>
      </c>
      <c r="C24" s="105">
        <f t="shared" si="6"/>
        <v>7.1705426356589138E-3</v>
      </c>
      <c r="D24" s="105">
        <f t="shared" si="6"/>
        <v>1.4341085271317828E-2</v>
      </c>
      <c r="E24" s="105">
        <f t="shared" si="6"/>
        <v>2.8682170542635655E-2</v>
      </c>
      <c r="F24" s="105">
        <f t="shared" si="6"/>
        <v>5.736434108527131E-2</v>
      </c>
      <c r="G24" s="105">
        <f t="shared" si="6"/>
        <v>8.6046511627906969E-2</v>
      </c>
      <c r="H24" s="105">
        <f t="shared" si="6"/>
        <v>0.1434108527131783</v>
      </c>
      <c r="I24" s="105">
        <f t="shared" si="6"/>
        <v>0.2868217054263566</v>
      </c>
      <c r="J24" s="105">
        <f t="shared" si="6"/>
        <v>0.43023255813953493</v>
      </c>
      <c r="K24" s="105">
        <f t="shared" si="6"/>
        <v>0.71705426356589153</v>
      </c>
      <c r="L24" s="105">
        <f t="shared" si="6"/>
        <v>1.4341085271317831</v>
      </c>
      <c r="M24" s="104">
        <f t="shared" si="3"/>
        <v>28.46153846153846</v>
      </c>
    </row>
    <row r="25" spans="1:13" ht="15" customHeight="1">
      <c r="A25" s="31" t="str">
        <f>'Process Comparison'!A14</f>
        <v>Regulatory Document Review</v>
      </c>
      <c r="B25" s="103">
        <f t="shared" ref="B25:L25" si="7">(($C$14*B$19+$D$14*B$19*$B$4)/1000000)/$B$5</f>
        <v>9.3023255813953487E-3</v>
      </c>
      <c r="C25" s="103">
        <f t="shared" si="7"/>
        <v>2.3255813953488372E-2</v>
      </c>
      <c r="D25" s="103">
        <f t="shared" si="7"/>
        <v>4.6511627906976744E-2</v>
      </c>
      <c r="E25" s="103">
        <f t="shared" si="7"/>
        <v>9.3023255813953487E-2</v>
      </c>
      <c r="F25" s="103">
        <f t="shared" si="7"/>
        <v>0.18604651162790697</v>
      </c>
      <c r="G25" s="103">
        <f t="shared" si="7"/>
        <v>0.27906976744186046</v>
      </c>
      <c r="H25" s="103">
        <f t="shared" si="7"/>
        <v>0.46511627906976744</v>
      </c>
      <c r="I25" s="103">
        <f t="shared" si="7"/>
        <v>0.93023255813953487</v>
      </c>
      <c r="J25" s="103">
        <f t="shared" si="7"/>
        <v>1.3953488372093024</v>
      </c>
      <c r="K25" s="103">
        <f t="shared" si="7"/>
        <v>2.3255813953488373</v>
      </c>
      <c r="L25" s="103">
        <f t="shared" si="7"/>
        <v>4.6511627906976747</v>
      </c>
      <c r="M25" s="104">
        <f t="shared" si="3"/>
        <v>86.126373626373621</v>
      </c>
    </row>
    <row r="26" spans="1:13" ht="15" customHeight="1">
      <c r="A26" s="35" t="str">
        <f>'Process Comparison'!A15</f>
        <v>MI / Management Reporting</v>
      </c>
      <c r="B26" s="105">
        <f t="shared" ref="B26:L26" si="8">(($C$15*B$19+$D$15*B$19*$B$4)/1000000)/$B$5</f>
        <v>6.2015503875968991E-3</v>
      </c>
      <c r="C26" s="105">
        <f t="shared" si="8"/>
        <v>1.5503875968992248E-2</v>
      </c>
      <c r="D26" s="105">
        <f t="shared" si="8"/>
        <v>3.1007751937984496E-2</v>
      </c>
      <c r="E26" s="105">
        <f t="shared" si="8"/>
        <v>6.2015503875968991E-2</v>
      </c>
      <c r="F26" s="105">
        <f t="shared" si="8"/>
        <v>0.12403100775193798</v>
      </c>
      <c r="G26" s="105">
        <f t="shared" si="8"/>
        <v>0.18604651162790697</v>
      </c>
      <c r="H26" s="105">
        <f t="shared" si="8"/>
        <v>0.31007751937984496</v>
      </c>
      <c r="I26" s="105">
        <f t="shared" si="8"/>
        <v>0.62015503875968991</v>
      </c>
      <c r="J26" s="105">
        <f t="shared" si="8"/>
        <v>0.93023255813953487</v>
      </c>
      <c r="K26" s="105">
        <f t="shared" si="8"/>
        <v>1.5503875968992247</v>
      </c>
      <c r="L26" s="105">
        <f t="shared" si="8"/>
        <v>3.1007751937984493</v>
      </c>
      <c r="M26" s="104">
        <f t="shared" si="3"/>
        <v>97.582417582417577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11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3" width="18" customWidth="1"/>
    <col min="4" max="8" width="22" customWidth="1"/>
    <col min="9" max="10" width="18" customWidth="1"/>
  </cols>
  <sheetData>
    <row r="1" spans="1:10" ht="17.25" customHeight="1">
      <c r="A1" s="1" t="s">
        <v>292</v>
      </c>
    </row>
    <row r="2" spans="1:10" ht="15" customHeight="1">
      <c r="A2" s="2" t="s">
        <v>293</v>
      </c>
    </row>
    <row r="4" spans="1:10" ht="23.25" customHeight="1">
      <c r="A4" s="4" t="s">
        <v>137</v>
      </c>
      <c r="B4" s="4" t="s">
        <v>294</v>
      </c>
      <c r="C4" s="4" t="s">
        <v>295</v>
      </c>
      <c r="D4" s="4" t="s">
        <v>296</v>
      </c>
      <c r="E4" s="4" t="s">
        <v>297</v>
      </c>
      <c r="F4" s="4" t="s">
        <v>298</v>
      </c>
      <c r="G4" s="4" t="s">
        <v>299</v>
      </c>
      <c r="H4" s="4" t="s">
        <v>300</v>
      </c>
      <c r="I4" s="4" t="s">
        <v>301</v>
      </c>
      <c r="J4" s="4" t="s">
        <v>302</v>
      </c>
    </row>
    <row r="5" spans="1:10" ht="15" customHeight="1">
      <c r="A5" s="93" t="str">
        <f>'Process Comparison'!A10</f>
        <v>KYC / Onboarding Check</v>
      </c>
      <c r="B5" s="24">
        <v>50000</v>
      </c>
      <c r="C5" s="41">
        <f>(B5*'Process Comparison'!C10)/(1820*60)</f>
        <v>20.604395604395606</v>
      </c>
      <c r="D5" s="106">
        <f>B5*'Process Comparison'!D10</f>
        <v>1829670.3296703296</v>
      </c>
      <c r="E5" s="106">
        <f>B5*'Process Comparison'!K10</f>
        <v>282473.80526450294</v>
      </c>
      <c r="F5" s="106">
        <f>B5*'Process Comparison'!L10</f>
        <v>465440.83823153592</v>
      </c>
      <c r="G5" s="107">
        <f t="shared" ref="G5:G10" si="0">D5-E5</f>
        <v>1547196.5244058266</v>
      </c>
      <c r="H5" s="107">
        <f t="shared" ref="H5:H10" si="1">D5-F5</f>
        <v>1364229.4914387937</v>
      </c>
      <c r="I5" s="41">
        <f t="shared" ref="I5:I10" si="2">IF(D5=0,0,C5*(1-E5/D5))</f>
        <v>17.423384283849401</v>
      </c>
      <c r="J5" s="41">
        <f t="shared" ref="J5:J10" si="3">IF(D5=0,0,C5*(1-F5/D5))</f>
        <v>15.362944723409839</v>
      </c>
    </row>
    <row r="6" spans="1:10" ht="15" customHeight="1">
      <c r="A6" s="98" t="str">
        <f>'Process Comparison'!A11</f>
        <v>Fraud Alert Triage</v>
      </c>
      <c r="B6" s="39">
        <v>200000</v>
      </c>
      <c r="C6" s="43">
        <f>(B6*'Process Comparison'!C11)/(1820*60)</f>
        <v>14.652014652014651</v>
      </c>
      <c r="D6" s="108">
        <f>B6*'Process Comparison'!D11</f>
        <v>867399.26739926729</v>
      </c>
      <c r="E6" s="108">
        <f>B6*'Process Comparison'!K11</f>
        <v>94181.787205042987</v>
      </c>
      <c r="F6" s="108">
        <f>B6*'Process Comparison'!L11</f>
        <v>180921.7139449697</v>
      </c>
      <c r="G6" s="107">
        <f t="shared" si="0"/>
        <v>773217.48019422428</v>
      </c>
      <c r="H6" s="107">
        <f t="shared" si="1"/>
        <v>686477.55345429759</v>
      </c>
      <c r="I6" s="43">
        <f t="shared" si="2"/>
        <v>13.061106084361898</v>
      </c>
      <c r="J6" s="43">
        <f t="shared" si="3"/>
        <v>11.595904619160432</v>
      </c>
    </row>
    <row r="7" spans="1:10" ht="15" customHeight="1">
      <c r="A7" s="93" t="str">
        <f>'Process Comparison'!A12</f>
        <v>Mortgage Application Review</v>
      </c>
      <c r="B7" s="24">
        <v>15000</v>
      </c>
      <c r="C7" s="41">
        <f>(B7*'Process Comparison'!C12)/(1820*60)</f>
        <v>8.2417582417582409</v>
      </c>
      <c r="D7" s="106">
        <f>B7*'Process Comparison'!D12</f>
        <v>945329.67032967031</v>
      </c>
      <c r="E7" s="106">
        <f>B7*'Process Comparison'!K12</f>
        <v>288831.45923843607</v>
      </c>
      <c r="F7" s="106">
        <f>B7*'Process Comparison'!L12</f>
        <v>336097.94275491952</v>
      </c>
      <c r="G7" s="107">
        <f t="shared" si="0"/>
        <v>656498.21109123423</v>
      </c>
      <c r="H7" s="107">
        <f t="shared" si="1"/>
        <v>609231.72757475078</v>
      </c>
      <c r="I7" s="41">
        <f t="shared" si="2"/>
        <v>5.7236112562444132</v>
      </c>
      <c r="J7" s="41">
        <f t="shared" si="3"/>
        <v>5.3115233441565017</v>
      </c>
    </row>
    <row r="8" spans="1:10" ht="15" customHeight="1">
      <c r="A8" s="98" t="str">
        <f>'Process Comparison'!A13</f>
        <v>Customer Complaint Resolution</v>
      </c>
      <c r="B8" s="39">
        <v>80000</v>
      </c>
      <c r="C8" s="43">
        <f>(B8*'Process Comparison'!C13)/(1820*60)</f>
        <v>25.641025641025642</v>
      </c>
      <c r="D8" s="108">
        <f>B8*'Process Comparison'!D13</f>
        <v>2276923.076923077</v>
      </c>
      <c r="E8" s="108">
        <f>B8*'Process Comparison'!K13</f>
        <v>803806.79785330954</v>
      </c>
      <c r="F8" s="108">
        <f>B8*'Process Comparison'!L13</f>
        <v>917652.95169946342</v>
      </c>
      <c r="G8" s="107">
        <f t="shared" si="0"/>
        <v>1473116.2790697673</v>
      </c>
      <c r="H8" s="107">
        <f t="shared" si="1"/>
        <v>1359270.1252236136</v>
      </c>
      <c r="I8" s="43">
        <f t="shared" si="2"/>
        <v>16.589147286821706</v>
      </c>
      <c r="J8" s="43">
        <f t="shared" si="3"/>
        <v>15.307096004770424</v>
      </c>
    </row>
    <row r="9" spans="1:10" ht="15" customHeight="1">
      <c r="A9" s="93" t="str">
        <f>'Process Comparison'!A14</f>
        <v>Regulatory Document Review</v>
      </c>
      <c r="B9" s="24">
        <v>5000</v>
      </c>
      <c r="C9" s="41">
        <f>(B9*'Process Comparison'!C14)/(1820*60)</f>
        <v>4.1208791208791204</v>
      </c>
      <c r="D9" s="106">
        <f>B9*'Process Comparison'!D14</f>
        <v>430631.86813186808</v>
      </c>
      <c r="E9" s="106">
        <f>B9*'Process Comparison'!K14</f>
        <v>109053.31587017633</v>
      </c>
      <c r="F9" s="106">
        <f>B9*'Process Comparison'!L14</f>
        <v>130584.90927676976</v>
      </c>
      <c r="G9" s="107">
        <f t="shared" si="0"/>
        <v>321578.55226169177</v>
      </c>
      <c r="H9" s="107">
        <f t="shared" si="1"/>
        <v>300046.95885509835</v>
      </c>
      <c r="I9" s="41">
        <f t="shared" si="2"/>
        <v>3.0773067202075768</v>
      </c>
      <c r="J9" s="41">
        <f t="shared" si="3"/>
        <v>2.8712627641636206</v>
      </c>
    </row>
    <row r="10" spans="1:10" ht="15" customHeight="1">
      <c r="A10" s="98" t="str">
        <f>'Process Comparison'!A15</f>
        <v>MI / Management Reporting</v>
      </c>
      <c r="B10" s="39">
        <v>2000</v>
      </c>
      <c r="C10" s="43">
        <f>(B10*'Process Comparison'!C15)/(1820*60)</f>
        <v>2.197802197802198</v>
      </c>
      <c r="D10" s="108">
        <f>B10*'Process Comparison'!D15</f>
        <v>195164.83516483515</v>
      </c>
      <c r="E10" s="108">
        <f>B10*'Process Comparison'!K15</f>
        <v>19888.576539739326</v>
      </c>
      <c r="F10" s="108">
        <f>B10*'Process Comparison'!L15</f>
        <v>29646.818297981095</v>
      </c>
      <c r="G10" s="107">
        <f t="shared" si="0"/>
        <v>175276.25862509583</v>
      </c>
      <c r="H10" s="107">
        <f t="shared" si="1"/>
        <v>165518.01686685404</v>
      </c>
      <c r="I10" s="43">
        <f t="shared" si="2"/>
        <v>1.9738317412736019</v>
      </c>
      <c r="J10" s="43">
        <f t="shared" si="3"/>
        <v>1.863941631383492</v>
      </c>
    </row>
    <row r="11" spans="1:10" ht="15" customHeight="1">
      <c r="A11" s="109" t="s">
        <v>198</v>
      </c>
      <c r="B11" s="110">
        <f t="shared" ref="B11:J11" si="4">SUM(B5:B10)</f>
        <v>352000</v>
      </c>
      <c r="C11" s="111">
        <f t="shared" si="4"/>
        <v>75.45787545787546</v>
      </c>
      <c r="D11" s="111">
        <f t="shared" si="4"/>
        <v>6545119.0476190476</v>
      </c>
      <c r="E11" s="111">
        <f t="shared" si="4"/>
        <v>1598235.7419712071</v>
      </c>
      <c r="F11" s="111">
        <f t="shared" si="4"/>
        <v>2060345.1742056394</v>
      </c>
      <c r="G11" s="111">
        <f t="shared" si="4"/>
        <v>4946883.3056478398</v>
      </c>
      <c r="H11" s="111">
        <f t="shared" si="4"/>
        <v>4484773.8734134082</v>
      </c>
      <c r="I11" s="112">
        <f t="shared" si="4"/>
        <v>57.848387372758587</v>
      </c>
      <c r="J11" s="112">
        <f t="shared" si="4"/>
        <v>52.312673087044303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6600"/>
  </sheetPr>
  <dimension ref="A1:F17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6" width="18" customWidth="1"/>
  </cols>
  <sheetData>
    <row r="1" spans="1:6" ht="17.25" customHeight="1">
      <c r="A1" s="1" t="s">
        <v>303</v>
      </c>
    </row>
    <row r="2" spans="1:6" ht="15" customHeight="1">
      <c r="A2" s="2" t="s">
        <v>304</v>
      </c>
    </row>
    <row r="4" spans="1:6" ht="15" customHeight="1">
      <c r="A4" t="s">
        <v>305</v>
      </c>
      <c r="B4" s="113">
        <v>0.4</v>
      </c>
    </row>
    <row r="6" spans="1:6" ht="15" customHeight="1">
      <c r="A6" s="4"/>
      <c r="B6" s="4" t="s">
        <v>306</v>
      </c>
      <c r="C6" s="4" t="s">
        <v>307</v>
      </c>
      <c r="D6" s="4" t="s">
        <v>308</v>
      </c>
      <c r="E6" s="4" t="s">
        <v>309</v>
      </c>
      <c r="F6" s="4" t="s">
        <v>310</v>
      </c>
    </row>
    <row r="7" spans="1:6" ht="15" customHeight="1">
      <c r="A7" s="35" t="s">
        <v>311</v>
      </c>
      <c r="B7" s="114">
        <v>3</v>
      </c>
      <c r="C7" s="115">
        <f t="shared" ref="C7:F8" si="0">B7*(1-$B$4)</f>
        <v>1.7999999999999998</v>
      </c>
      <c r="D7" s="115">
        <f t="shared" si="0"/>
        <v>1.0799999999999998</v>
      </c>
      <c r="E7" s="115">
        <f t="shared" si="0"/>
        <v>0.64799999999999991</v>
      </c>
      <c r="F7" s="115">
        <f t="shared" si="0"/>
        <v>0.38879999999999992</v>
      </c>
    </row>
    <row r="8" spans="1:6" ht="15" customHeight="1">
      <c r="A8" s="35" t="s">
        <v>312</v>
      </c>
      <c r="B8" s="114">
        <v>15</v>
      </c>
      <c r="C8" s="115">
        <f t="shared" si="0"/>
        <v>9</v>
      </c>
      <c r="D8" s="115">
        <f t="shared" si="0"/>
        <v>5.3999999999999995</v>
      </c>
      <c r="E8" s="115">
        <f t="shared" si="0"/>
        <v>3.2399999999999998</v>
      </c>
      <c r="F8" s="115">
        <f t="shared" si="0"/>
        <v>1.9439999999999997</v>
      </c>
    </row>
    <row r="10" spans="1:6" ht="15" customHeight="1">
      <c r="A10" s="3" t="s">
        <v>313</v>
      </c>
    </row>
    <row r="11" spans="1:6" ht="15" customHeight="1">
      <c r="A11" s="4" t="s">
        <v>137</v>
      </c>
      <c r="B11" s="4" t="s">
        <v>314</v>
      </c>
      <c r="C11" s="4" t="s">
        <v>307</v>
      </c>
      <c r="D11" s="4" t="s">
        <v>308</v>
      </c>
      <c r="E11" s="4" t="s">
        <v>309</v>
      </c>
      <c r="F11" s="4" t="s">
        <v>310</v>
      </c>
    </row>
    <row r="12" spans="1:6" ht="15" customHeight="1">
      <c r="A12" s="93" t="str">
        <f>'Process Comparison'!A10</f>
        <v>KYC / Onboarding Check</v>
      </c>
      <c r="B12" s="94">
        <f>'Process Comparison'!J10</f>
        <v>0.16046511627906979</v>
      </c>
      <c r="C12" s="103">
        <f t="shared" ref="C12:C17" si="1">B12*(1-$B$4)^1</f>
        <v>9.6279069767441869E-2</v>
      </c>
      <c r="D12" s="103">
        <f t="shared" ref="D12:D17" si="2">B12*(1-$B$4)^2</f>
        <v>5.7767441860465119E-2</v>
      </c>
      <c r="E12" s="103">
        <f t="shared" ref="E12:E17" si="3">B12*(1-$B$4)^3</f>
        <v>3.4660465116279071E-2</v>
      </c>
      <c r="F12" s="103">
        <f t="shared" ref="F12:F17" si="4">B12*(1-$B$4)^4</f>
        <v>2.0796279069767443E-2</v>
      </c>
    </row>
    <row r="13" spans="1:6" ht="15" customHeight="1">
      <c r="A13" s="98" t="str">
        <f>'Process Comparison'!A11</f>
        <v>Fraud Alert Triage</v>
      </c>
      <c r="B13" s="99">
        <f>'Process Comparison'!J11</f>
        <v>3.7209302325581395E-2</v>
      </c>
      <c r="C13" s="105">
        <f t="shared" si="1"/>
        <v>2.2325581395348838E-2</v>
      </c>
      <c r="D13" s="105">
        <f t="shared" si="2"/>
        <v>1.3395348837209302E-2</v>
      </c>
      <c r="E13" s="105">
        <f t="shared" si="3"/>
        <v>8.0372093023255813E-3</v>
      </c>
      <c r="F13" s="105">
        <f t="shared" si="4"/>
        <v>4.8223255813953482E-3</v>
      </c>
    </row>
    <row r="14" spans="1:6" ht="15" customHeight="1">
      <c r="A14" s="93" t="str">
        <f>'Process Comparison'!A12</f>
        <v>Mortgage Application Review</v>
      </c>
      <c r="B14" s="94">
        <f>'Process Comparison'!J12</f>
        <v>0.34883720930232553</v>
      </c>
      <c r="C14" s="103">
        <f t="shared" si="1"/>
        <v>0.2093023255813953</v>
      </c>
      <c r="D14" s="103">
        <f t="shared" si="2"/>
        <v>0.12558139534883719</v>
      </c>
      <c r="E14" s="103">
        <f t="shared" si="3"/>
        <v>7.5348837209302313E-2</v>
      </c>
      <c r="F14" s="103">
        <f t="shared" si="4"/>
        <v>4.5209302325581388E-2</v>
      </c>
    </row>
    <row r="15" spans="1:6" ht="15" customHeight="1">
      <c r="A15" s="98" t="str">
        <f>'Process Comparison'!A13</f>
        <v>Customer Complaint Resolution</v>
      </c>
      <c r="B15" s="99">
        <f>'Process Comparison'!J13</f>
        <v>8.6046511627906969E-2</v>
      </c>
      <c r="C15" s="105">
        <f t="shared" si="1"/>
        <v>5.162790697674418E-2</v>
      </c>
      <c r="D15" s="105">
        <f t="shared" si="2"/>
        <v>3.0976744186046509E-2</v>
      </c>
      <c r="E15" s="105">
        <f t="shared" si="3"/>
        <v>1.8586046511627905E-2</v>
      </c>
      <c r="F15" s="105">
        <f t="shared" si="4"/>
        <v>1.1151627906976743E-2</v>
      </c>
    </row>
    <row r="16" spans="1:6" ht="15" customHeight="1">
      <c r="A16" s="93" t="str">
        <f>'Process Comparison'!A14</f>
        <v>Regulatory Document Review</v>
      </c>
      <c r="B16" s="94">
        <f>'Process Comparison'!J14</f>
        <v>0.27906976744186046</v>
      </c>
      <c r="C16" s="103">
        <f t="shared" si="1"/>
        <v>0.16744186046511628</v>
      </c>
      <c r="D16" s="103">
        <f t="shared" si="2"/>
        <v>0.10046511627906976</v>
      </c>
      <c r="E16" s="103">
        <f t="shared" si="3"/>
        <v>6.0279069767441858E-2</v>
      </c>
      <c r="F16" s="103">
        <f t="shared" si="4"/>
        <v>3.616744186046511E-2</v>
      </c>
    </row>
    <row r="17" spans="1:6" ht="15" customHeight="1">
      <c r="A17" s="98" t="str">
        <f>'Process Comparison'!A15</f>
        <v>MI / Management Reporting</v>
      </c>
      <c r="B17" s="99">
        <f>'Process Comparison'!J15</f>
        <v>0.18604651162790697</v>
      </c>
      <c r="C17" s="105">
        <f t="shared" si="1"/>
        <v>0.11162790697674418</v>
      </c>
      <c r="D17" s="105">
        <f t="shared" si="2"/>
        <v>6.6976744186046502E-2</v>
      </c>
      <c r="E17" s="105">
        <f t="shared" si="3"/>
        <v>4.0186046511627903E-2</v>
      </c>
      <c r="F17" s="105">
        <f t="shared" si="4"/>
        <v>2.4111627906976744E-2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O10"/>
  <sheetViews>
    <sheetView zoomScaleNormal="100" workbookViewId="0"/>
  </sheetViews>
  <sheetFormatPr baseColWidth="10" defaultColWidth="8.6640625" defaultRowHeight="15" customHeight="1"/>
  <cols>
    <col min="1" max="1" width="35" customWidth="1"/>
    <col min="2" max="15" width="14" customWidth="1"/>
  </cols>
  <sheetData>
    <row r="1" spans="1:15" ht="17.25" customHeight="1">
      <c r="A1" s="1" t="s">
        <v>315</v>
      </c>
    </row>
    <row r="2" spans="1:15" ht="15" customHeight="1">
      <c r="A2" s="2" t="s">
        <v>316</v>
      </c>
      <c r="B2" s="101">
        <v>5</v>
      </c>
      <c r="C2" s="101">
        <v>2.5</v>
      </c>
      <c r="D2" s="101">
        <v>0.4</v>
      </c>
      <c r="E2" s="101">
        <v>4.4000000000000004</v>
      </c>
      <c r="F2" s="101">
        <v>0.42</v>
      </c>
      <c r="G2" s="101">
        <v>1.5</v>
      </c>
      <c r="H2" s="101">
        <v>15</v>
      </c>
      <c r="I2" s="101">
        <v>10</v>
      </c>
      <c r="J2" s="101">
        <v>12</v>
      </c>
      <c r="K2" s="101">
        <v>15</v>
      </c>
      <c r="L2" s="101">
        <v>2.19</v>
      </c>
      <c r="M2" s="101">
        <v>25</v>
      </c>
      <c r="N2" s="101">
        <v>15</v>
      </c>
    </row>
    <row r="3" spans="1:15" ht="15" customHeight="1">
      <c r="B3" s="101">
        <v>1</v>
      </c>
      <c r="C3" s="101">
        <v>0.3</v>
      </c>
      <c r="D3" s="101">
        <v>0.1</v>
      </c>
      <c r="E3" s="101">
        <v>1.1000000000000001</v>
      </c>
      <c r="F3" s="101">
        <v>0.28000000000000003</v>
      </c>
      <c r="G3" s="101">
        <v>0.5</v>
      </c>
      <c r="H3" s="101">
        <v>3</v>
      </c>
      <c r="I3" s="101">
        <v>2.5</v>
      </c>
      <c r="J3" s="101">
        <v>2</v>
      </c>
      <c r="K3" s="101">
        <v>3</v>
      </c>
      <c r="L3" s="101">
        <v>0.55000000000000004</v>
      </c>
      <c r="M3" s="101">
        <v>5</v>
      </c>
      <c r="N3" s="101">
        <v>2.5</v>
      </c>
    </row>
    <row r="4" spans="1:15" ht="15" customHeight="1">
      <c r="A4" s="4" t="s">
        <v>137</v>
      </c>
      <c r="B4" s="4" t="s">
        <v>113</v>
      </c>
      <c r="C4" s="4" t="s">
        <v>317</v>
      </c>
      <c r="D4" s="4" t="s">
        <v>318</v>
      </c>
      <c r="E4" s="4" t="s">
        <v>30</v>
      </c>
      <c r="F4" s="4" t="s">
        <v>55</v>
      </c>
      <c r="G4" s="4" t="s">
        <v>319</v>
      </c>
      <c r="H4" s="4" t="s">
        <v>112</v>
      </c>
      <c r="I4" s="4" t="s">
        <v>33</v>
      </c>
      <c r="J4" s="4" t="s">
        <v>320</v>
      </c>
      <c r="K4" s="4" t="s">
        <v>49</v>
      </c>
      <c r="L4" s="4" t="s">
        <v>58</v>
      </c>
      <c r="M4" s="4" t="s">
        <v>111</v>
      </c>
      <c r="N4" s="4" t="s">
        <v>25</v>
      </c>
      <c r="O4" s="4" t="s">
        <v>291</v>
      </c>
    </row>
    <row r="5" spans="1:15" ht="15" customHeight="1">
      <c r="A5" s="93" t="str">
        <f>'Process Comparison'!A10</f>
        <v>KYC / Onboarding Check</v>
      </c>
      <c r="B5" s="103">
        <f>(('Process Comparison'!G10*B$3+'Process Comparison'!H10*B$2)/1000000)*'Process Comparison'!I10/Assumptions!$B$27</f>
        <v>5.3488372093023262E-2</v>
      </c>
      <c r="C5" s="103">
        <f>(('Process Comparison'!G10*C$3+'Process Comparison'!H10*C$2)/1000000)*'Process Comparison'!I10/Assumptions!$B$27</f>
        <v>2.3023255813953491E-2</v>
      </c>
      <c r="D5" s="103">
        <f>(('Process Comparison'!G10*D$3+'Process Comparison'!H10*D$2)/1000000)*'Process Comparison'!I10/Assumptions!$B$27</f>
        <v>4.6511627906976744E-3</v>
      </c>
      <c r="E5" s="103">
        <f>(('Process Comparison'!G10*E$3+'Process Comparison'!H10*E$2)/1000000)*'Process Comparison'!I10/Assumptions!$B$27</f>
        <v>5.1162790697674418E-2</v>
      </c>
      <c r="F5" s="103">
        <f>(('Process Comparison'!G10*F$3+'Process Comparison'!H10*F$2)/1000000)*'Process Comparison'!I10/Assumptions!$B$27</f>
        <v>8.1395348837209301E-3</v>
      </c>
      <c r="G5" s="103">
        <f>(('Process Comparison'!G10*G$3+'Process Comparison'!H10*G$2)/1000000)*'Process Comparison'!I10/Assumptions!$B$27</f>
        <v>1.9767441860465116E-2</v>
      </c>
      <c r="H5" s="103">
        <f>(('Process Comparison'!G10*H$3+'Process Comparison'!H10*H$2)/1000000)*'Process Comparison'!I10/Assumptions!$B$27</f>
        <v>0.16046511627906979</v>
      </c>
      <c r="I5" s="103">
        <f>(('Process Comparison'!G10*I$3+'Process Comparison'!H10*I$2)/1000000)*'Process Comparison'!I10/Assumptions!$B$27</f>
        <v>0.11627906976744187</v>
      </c>
      <c r="J5" s="103">
        <f>(('Process Comparison'!G10*J$3+'Process Comparison'!H10*J$2)/1000000)*'Process Comparison'!I10/Assumptions!$B$27</f>
        <v>0.12093023255813953</v>
      </c>
      <c r="K5" s="103">
        <f>(('Process Comparison'!G10*K$3+'Process Comparison'!H10*K$2)/1000000)*'Process Comparison'!I10/Assumptions!$B$27</f>
        <v>0.16046511627906979</v>
      </c>
      <c r="L5" s="103">
        <f>(('Process Comparison'!G10*L$3+'Process Comparison'!H10*L$2)/1000000)*'Process Comparison'!I10/Assumptions!$B$27</f>
        <v>2.5511627906976746E-2</v>
      </c>
      <c r="M5" s="103">
        <f>(('Process Comparison'!G10*M$3+'Process Comparison'!H10*M$2)/1000000)*'Process Comparison'!I10/Assumptions!$B$27</f>
        <v>0.26744186046511631</v>
      </c>
      <c r="N5" s="103">
        <f>(('Process Comparison'!G10*N$3+'Process Comparison'!H10*N$2)/1000000)*'Process Comparison'!I10/Assumptions!$B$27</f>
        <v>0.15116279069767441</v>
      </c>
      <c r="O5" s="104">
        <f>'Process Comparison'!D10</f>
        <v>36.593406593406591</v>
      </c>
    </row>
    <row r="6" spans="1:15" ht="15" customHeight="1">
      <c r="A6" s="98" t="str">
        <f>'Process Comparison'!A11</f>
        <v>Fraud Alert Triage</v>
      </c>
      <c r="B6" s="105">
        <f>(('Process Comparison'!G11*B$3+'Process Comparison'!H11*B$2)/1000000)*'Process Comparison'!I11/Assumptions!$B$27</f>
        <v>1.2403100775193798E-2</v>
      </c>
      <c r="C6" s="105">
        <f>(('Process Comparison'!G11*C$3+'Process Comparison'!H11*C$2)/1000000)*'Process Comparison'!I11/Assumptions!$B$27</f>
        <v>5.2713178294573641E-3</v>
      </c>
      <c r="D6" s="105">
        <f>(('Process Comparison'!G11*D$3+'Process Comparison'!H11*D$2)/1000000)*'Process Comparison'!I11/Assumptions!$B$27</f>
        <v>1.0852713178294573E-3</v>
      </c>
      <c r="E6" s="105">
        <f>(('Process Comparison'!G11*E$3+'Process Comparison'!H11*E$2)/1000000)*'Process Comparison'!I11/Assumptions!$B$27</f>
        <v>1.1937984496124031E-2</v>
      </c>
      <c r="F6" s="105">
        <f>(('Process Comparison'!G11*F$3+'Process Comparison'!H11*F$2)/1000000)*'Process Comparison'!I11/Assumptions!$B$27</f>
        <v>1.9534883720930232E-3</v>
      </c>
      <c r="G6" s="105">
        <f>(('Process Comparison'!G11*G$3+'Process Comparison'!H11*G$2)/1000000)*'Process Comparison'!I11/Assumptions!$B$27</f>
        <v>4.6511627906976744E-3</v>
      </c>
      <c r="H6" s="105">
        <f>(('Process Comparison'!G11*H$3+'Process Comparison'!H11*H$2)/1000000)*'Process Comparison'!I11/Assumptions!$B$27</f>
        <v>3.7209302325581395E-2</v>
      </c>
      <c r="I6" s="105">
        <f>(('Process Comparison'!G11*I$3+'Process Comparison'!H11*I$2)/1000000)*'Process Comparison'!I11/Assumptions!$B$27</f>
        <v>2.7131782945736437E-2</v>
      </c>
      <c r="J6" s="105">
        <f>(('Process Comparison'!G11*J$3+'Process Comparison'!H11*J$2)/1000000)*'Process Comparison'!I11/Assumptions!$B$27</f>
        <v>2.7906976744186043E-2</v>
      </c>
      <c r="K6" s="105">
        <f>(('Process Comparison'!G11*K$3+'Process Comparison'!H11*K$2)/1000000)*'Process Comparison'!I11/Assumptions!$B$27</f>
        <v>3.7209302325581395E-2</v>
      </c>
      <c r="L6" s="105">
        <f>(('Process Comparison'!G11*L$3+'Process Comparison'!H11*L$2)/1000000)*'Process Comparison'!I11/Assumptions!$B$27</f>
        <v>5.9534883720930229E-3</v>
      </c>
      <c r="M6" s="105">
        <f>(('Process Comparison'!G11*M$3+'Process Comparison'!H11*M$2)/1000000)*'Process Comparison'!I11/Assumptions!$B$27</f>
        <v>6.2015503875968991E-2</v>
      </c>
      <c r="N6" s="105">
        <f>(('Process Comparison'!G11*N$3+'Process Comparison'!H11*N$2)/1000000)*'Process Comparison'!I11/Assumptions!$B$27</f>
        <v>3.4883720930232558E-2</v>
      </c>
      <c r="O6" s="104">
        <f>'Process Comparison'!D11</f>
        <v>4.3369963369963367</v>
      </c>
    </row>
    <row r="7" spans="1:15" ht="15" customHeight="1">
      <c r="A7" s="93" t="str">
        <f>'Process Comparison'!A12</f>
        <v>Mortgage Application Review</v>
      </c>
      <c r="B7" s="103">
        <f>(('Process Comparison'!G12*B$3+'Process Comparison'!H12*B$2)/1000000)*'Process Comparison'!I12/Assumptions!$B$27</f>
        <v>0.11627906976744186</v>
      </c>
      <c r="C7" s="103">
        <f>(('Process Comparison'!G12*C$3+'Process Comparison'!H12*C$2)/1000000)*'Process Comparison'!I12/Assumptions!$B$27</f>
        <v>5.0387596899224806E-2</v>
      </c>
      <c r="D7" s="103">
        <f>(('Process Comparison'!G12*D$3+'Process Comparison'!H12*D$2)/1000000)*'Process Comparison'!I12/Assumptions!$B$27</f>
        <v>1.0077519379844961E-2</v>
      </c>
      <c r="E7" s="103">
        <f>(('Process Comparison'!G12*E$3+'Process Comparison'!H12*E$2)/1000000)*'Process Comparison'!I12/Assumptions!$B$27</f>
        <v>0.11085271317829458</v>
      </c>
      <c r="F7" s="103">
        <f>(('Process Comparison'!G12*F$3+'Process Comparison'!H12*F$2)/1000000)*'Process Comparison'!I12/Assumptions!$B$27</f>
        <v>1.7364341085271316E-2</v>
      </c>
      <c r="G7" s="103">
        <f>(('Process Comparison'!G12*G$3+'Process Comparison'!H12*G$2)/1000000)*'Process Comparison'!I12/Assumptions!$B$27</f>
        <v>4.2635658914728675E-2</v>
      </c>
      <c r="H7" s="103">
        <f>(('Process Comparison'!G12*H$3+'Process Comparison'!H12*H$2)/1000000)*'Process Comparison'!I12/Assumptions!$B$27</f>
        <v>0.34883720930232553</v>
      </c>
      <c r="I7" s="103">
        <f>(('Process Comparison'!G12*I$3+'Process Comparison'!H12*I$2)/1000000)*'Process Comparison'!I12/Assumptions!$B$27</f>
        <v>0.25193798449612403</v>
      </c>
      <c r="J7" s="103">
        <f>(('Process Comparison'!G12*J$3+'Process Comparison'!H12*J$2)/1000000)*'Process Comparison'!I12/Assumptions!$B$27</f>
        <v>0.26356589147286824</v>
      </c>
      <c r="K7" s="103">
        <f>(('Process Comparison'!G12*K$3+'Process Comparison'!H12*K$2)/1000000)*'Process Comparison'!I12/Assumptions!$B$27</f>
        <v>0.34883720930232553</v>
      </c>
      <c r="L7" s="103">
        <f>(('Process Comparison'!G12*L$3+'Process Comparison'!H12*L$2)/1000000)*'Process Comparison'!I12/Assumptions!$B$27</f>
        <v>5.5271317829457364E-2</v>
      </c>
      <c r="M7" s="103">
        <f>(('Process Comparison'!G12*M$3+'Process Comparison'!H12*M$2)/1000000)*'Process Comparison'!I12/Assumptions!$B$27</f>
        <v>0.58139534883720934</v>
      </c>
      <c r="N7" s="103">
        <f>(('Process Comparison'!G12*N$3+'Process Comparison'!H12*N$2)/1000000)*'Process Comparison'!I12/Assumptions!$B$27</f>
        <v>0.3294573643410853</v>
      </c>
      <c r="O7" s="104">
        <f>'Process Comparison'!D12</f>
        <v>63.021978021978022</v>
      </c>
    </row>
    <row r="8" spans="1:15" ht="15" customHeight="1">
      <c r="A8" s="98" t="str">
        <f>'Process Comparison'!A13</f>
        <v>Customer Complaint Resolution</v>
      </c>
      <c r="B8" s="105">
        <f>(('Process Comparison'!G13*B$3+'Process Comparison'!H13*B$2)/1000000)*'Process Comparison'!I13/Assumptions!$B$27</f>
        <v>2.8682170542635655E-2</v>
      </c>
      <c r="C8" s="105">
        <f>(('Process Comparison'!G13*C$3+'Process Comparison'!H13*C$2)/1000000)*'Process Comparison'!I13/Assumptions!$B$27</f>
        <v>1.2480620155038759E-2</v>
      </c>
      <c r="D8" s="105">
        <f>(('Process Comparison'!G13*D$3+'Process Comparison'!H13*D$2)/1000000)*'Process Comparison'!I13/Assumptions!$B$27</f>
        <v>2.4806201550387598E-3</v>
      </c>
      <c r="E8" s="105">
        <f>(('Process Comparison'!G13*E$3+'Process Comparison'!H13*E$2)/1000000)*'Process Comparison'!I13/Assumptions!$B$27</f>
        <v>2.7286821705426359E-2</v>
      </c>
      <c r="F8" s="105">
        <f>(('Process Comparison'!G13*F$3+'Process Comparison'!H13*F$2)/1000000)*'Process Comparison'!I13/Assumptions!$B$27</f>
        <v>4.2325581395348836E-3</v>
      </c>
      <c r="G8" s="105">
        <f>(('Process Comparison'!G13*G$3+'Process Comparison'!H13*G$2)/1000000)*'Process Comparison'!I13/Assumptions!$B$27</f>
        <v>1.0465116279069767E-2</v>
      </c>
      <c r="H8" s="105">
        <f>(('Process Comparison'!G13*H$3+'Process Comparison'!H13*H$2)/1000000)*'Process Comparison'!I13/Assumptions!$B$27</f>
        <v>8.6046511627906969E-2</v>
      </c>
      <c r="I8" s="105">
        <f>(('Process Comparison'!G13*I$3+'Process Comparison'!H13*I$2)/1000000)*'Process Comparison'!I13/Assumptions!$B$27</f>
        <v>6.2015503875968991E-2</v>
      </c>
      <c r="J8" s="105">
        <f>(('Process Comparison'!G13*J$3+'Process Comparison'!H13*J$2)/1000000)*'Process Comparison'!I13/Assumptions!$B$27</f>
        <v>6.5116279069767441E-2</v>
      </c>
      <c r="K8" s="105">
        <f>(('Process Comparison'!G13*K$3+'Process Comparison'!H13*K$2)/1000000)*'Process Comparison'!I13/Assumptions!$B$27</f>
        <v>8.6046511627906969E-2</v>
      </c>
      <c r="L8" s="105">
        <f>(('Process Comparison'!G13*L$3+'Process Comparison'!H13*L$2)/1000000)*'Process Comparison'!I13/Assumptions!$B$27</f>
        <v>1.3604651162790696E-2</v>
      </c>
      <c r="M8" s="105">
        <f>(('Process Comparison'!G13*M$3+'Process Comparison'!H13*M$2)/1000000)*'Process Comparison'!I13/Assumptions!$B$27</f>
        <v>0.1434108527131783</v>
      </c>
      <c r="N8" s="105">
        <f>(('Process Comparison'!G13*N$3+'Process Comparison'!H13*N$2)/1000000)*'Process Comparison'!I13/Assumptions!$B$27</f>
        <v>8.1395348837209294E-2</v>
      </c>
      <c r="O8" s="104">
        <f>'Process Comparison'!D13</f>
        <v>28.46153846153846</v>
      </c>
    </row>
    <row r="9" spans="1:15" ht="15" customHeight="1">
      <c r="A9" s="93" t="str">
        <f>'Process Comparison'!A14</f>
        <v>Regulatory Document Review</v>
      </c>
      <c r="B9" s="103">
        <f>(('Process Comparison'!G14*B$3+'Process Comparison'!H14*B$2)/1000000)*'Process Comparison'!I14/Assumptions!$B$27</f>
        <v>9.3023255813953487E-2</v>
      </c>
      <c r="C9" s="103">
        <f>(('Process Comparison'!G14*C$3+'Process Comparison'!H14*C$2)/1000000)*'Process Comparison'!I14/Assumptions!$B$27</f>
        <v>3.9534883720930232E-2</v>
      </c>
      <c r="D9" s="103">
        <f>(('Process Comparison'!G14*D$3+'Process Comparison'!H14*D$2)/1000000)*'Process Comparison'!I14/Assumptions!$B$27</f>
        <v>8.1395348837209301E-3</v>
      </c>
      <c r="E9" s="103">
        <f>(('Process Comparison'!G14*E$3+'Process Comparison'!H14*E$2)/1000000)*'Process Comparison'!I14/Assumptions!$B$27</f>
        <v>8.9534883720930228E-2</v>
      </c>
      <c r="F9" s="103">
        <f>(('Process Comparison'!G14*F$3+'Process Comparison'!H14*F$2)/1000000)*'Process Comparison'!I14/Assumptions!$B$27</f>
        <v>1.4651162790697675E-2</v>
      </c>
      <c r="G9" s="103">
        <f>(('Process Comparison'!G14*G$3+'Process Comparison'!H14*G$2)/1000000)*'Process Comparison'!I14/Assumptions!$B$27</f>
        <v>3.4883720930232558E-2</v>
      </c>
      <c r="H9" s="103">
        <f>(('Process Comparison'!G14*H$3+'Process Comparison'!H14*H$2)/1000000)*'Process Comparison'!I14/Assumptions!$B$27</f>
        <v>0.27906976744186046</v>
      </c>
      <c r="I9" s="103">
        <f>(('Process Comparison'!G14*I$3+'Process Comparison'!H14*I$2)/1000000)*'Process Comparison'!I14/Assumptions!$B$27</f>
        <v>0.20348837209302323</v>
      </c>
      <c r="J9" s="103">
        <f>(('Process Comparison'!G14*J$3+'Process Comparison'!H14*J$2)/1000000)*'Process Comparison'!I14/Assumptions!$B$27</f>
        <v>0.20930232558139536</v>
      </c>
      <c r="K9" s="103">
        <f>(('Process Comparison'!G14*K$3+'Process Comparison'!H14*K$2)/1000000)*'Process Comparison'!I14/Assumptions!$B$27</f>
        <v>0.27906976744186046</v>
      </c>
      <c r="L9" s="103">
        <f>(('Process Comparison'!G14*L$3+'Process Comparison'!H14*L$2)/1000000)*'Process Comparison'!I14/Assumptions!$B$27</f>
        <v>4.4651162790697675E-2</v>
      </c>
      <c r="M9" s="103">
        <f>(('Process Comparison'!G14*M$3+'Process Comparison'!H14*M$2)/1000000)*'Process Comparison'!I14/Assumptions!$B$27</f>
        <v>0.46511627906976749</v>
      </c>
      <c r="N9" s="103">
        <f>(('Process Comparison'!G14*N$3+'Process Comparison'!H14*N$2)/1000000)*'Process Comparison'!I14/Assumptions!$B$27</f>
        <v>0.26162790697674421</v>
      </c>
      <c r="O9" s="104">
        <f>'Process Comparison'!D14</f>
        <v>86.126373626373621</v>
      </c>
    </row>
    <row r="10" spans="1:15" ht="15" customHeight="1">
      <c r="A10" s="98" t="str">
        <f>'Process Comparison'!A15</f>
        <v>MI / Management Reporting</v>
      </c>
      <c r="B10" s="105">
        <f>(('Process Comparison'!G15*B$3+'Process Comparison'!H15*B$2)/1000000)*'Process Comparison'!I15/Assumptions!$B$27</f>
        <v>6.2015503875968991E-2</v>
      </c>
      <c r="C10" s="105">
        <f>(('Process Comparison'!G15*C$3+'Process Comparison'!H15*C$2)/1000000)*'Process Comparison'!I15/Assumptions!$B$27</f>
        <v>2.7906976744186043E-2</v>
      </c>
      <c r="D10" s="105">
        <f>(('Process Comparison'!G15*D$3+'Process Comparison'!H15*D$2)/1000000)*'Process Comparison'!I15/Assumptions!$B$27</f>
        <v>5.2713178294573641E-3</v>
      </c>
      <c r="E10" s="105">
        <f>(('Process Comparison'!G15*E$3+'Process Comparison'!H15*E$2)/1000000)*'Process Comparison'!I15/Assumptions!$B$27</f>
        <v>5.7984496124031011E-2</v>
      </c>
      <c r="F10" s="105">
        <f>(('Process Comparison'!G15*F$3+'Process Comparison'!H15*F$2)/1000000)*'Process Comparison'!I15/Assumptions!$B$27</f>
        <v>8.2480620155038764E-3</v>
      </c>
      <c r="G10" s="105">
        <f>(('Process Comparison'!G15*G$3+'Process Comparison'!H15*G$2)/1000000)*'Process Comparison'!I15/Assumptions!$B$27</f>
        <v>2.1705426356589147E-2</v>
      </c>
      <c r="H10" s="105">
        <f>(('Process Comparison'!G15*H$3+'Process Comparison'!H15*H$2)/1000000)*'Process Comparison'!I15/Assumptions!$B$27</f>
        <v>0.18604651162790697</v>
      </c>
      <c r="I10" s="105">
        <f>(('Process Comparison'!G15*I$3+'Process Comparison'!H15*I$2)/1000000)*'Process Comparison'!I15/Assumptions!$B$27</f>
        <v>0.13178294573643412</v>
      </c>
      <c r="J10" s="105">
        <f>(('Process Comparison'!G15*J$3+'Process Comparison'!H15*J$2)/1000000)*'Process Comparison'!I15/Assumptions!$B$27</f>
        <v>0.14263565891472868</v>
      </c>
      <c r="K10" s="105">
        <f>(('Process Comparison'!G15*K$3+'Process Comparison'!H15*K$2)/1000000)*'Process Comparison'!I15/Assumptions!$B$27</f>
        <v>0.18604651162790697</v>
      </c>
      <c r="L10" s="105">
        <f>(('Process Comparison'!G15*L$3+'Process Comparison'!H15*L$2)/1000000)*'Process Comparison'!I15/Assumptions!$B$27</f>
        <v>2.8899224806201551E-2</v>
      </c>
      <c r="M10" s="105">
        <f>(('Process Comparison'!G15*M$3+'Process Comparison'!H15*M$2)/1000000)*'Process Comparison'!I15/Assumptions!$B$27</f>
        <v>0.31007751937984496</v>
      </c>
      <c r="N10" s="105">
        <f>(('Process Comparison'!G15*N$3+'Process Comparison'!H15*N$2)/1000000)*'Process Comparison'!I15/Assumptions!$B$27</f>
        <v>0.17829457364341086</v>
      </c>
      <c r="O10" s="104">
        <f>'Process Comparison'!D15</f>
        <v>97.582417582417577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Assumptions</vt:lpstr>
      <vt:lpstr>Capability Assessment</vt:lpstr>
      <vt:lpstr>Automatability</vt:lpstr>
      <vt:lpstr>Process Comparison</vt:lpstr>
      <vt:lpstr>Regulatory Stress Case</vt:lpstr>
      <vt:lpstr>Automatability Sensitivity</vt:lpstr>
      <vt:lpstr>Error Cost Model</vt:lpstr>
      <vt:lpstr>Implementation &amp; Payback</vt:lpstr>
      <vt:lpstr>Sensitivity Analysis</vt:lpstr>
      <vt:lpstr>Volume Scaling</vt:lpstr>
      <vt:lpstr>Price Trajectory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Jamie McFarlane</cp:lastModifiedBy>
  <cp:revision>0</cp:revision>
  <dcterms:created xsi:type="dcterms:W3CDTF">2026-03-19T09:18:02Z</dcterms:created>
  <dcterms:modified xsi:type="dcterms:W3CDTF">2026-03-20T10:21:11Z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0f7b08-be94-4814-8ecb-4fe8aec82ba6_Enabled">
    <vt:lpwstr>true</vt:lpwstr>
  </property>
  <property fmtid="{D5CDD505-2E9C-101B-9397-08002B2CF9AE}" pid="3" name="MSIP_Label_c60f7b08-be94-4814-8ecb-4fe8aec82ba6_SetDate">
    <vt:lpwstr>2026-03-20T10:21:01Z</vt:lpwstr>
  </property>
  <property fmtid="{D5CDD505-2E9C-101B-9397-08002B2CF9AE}" pid="4" name="MSIP_Label_c60f7b08-be94-4814-8ecb-4fe8aec82ba6_Method">
    <vt:lpwstr>Standard</vt:lpwstr>
  </property>
  <property fmtid="{D5CDD505-2E9C-101B-9397-08002B2CF9AE}" pid="5" name="MSIP_Label_c60f7b08-be94-4814-8ecb-4fe8aec82ba6_Name">
    <vt:lpwstr>c60f7b08-be94-4814-8ecb-4fe8aec82ba6</vt:lpwstr>
  </property>
  <property fmtid="{D5CDD505-2E9C-101B-9397-08002B2CF9AE}" pid="6" name="MSIP_Label_c60f7b08-be94-4814-8ecb-4fe8aec82ba6_SiteId">
    <vt:lpwstr>7c7175e2-48cc-4ef6-938d-e3dd722ec114</vt:lpwstr>
  </property>
  <property fmtid="{D5CDD505-2E9C-101B-9397-08002B2CF9AE}" pid="7" name="MSIP_Label_c60f7b08-be94-4814-8ecb-4fe8aec82ba6_ActionId">
    <vt:lpwstr>d4609851-4099-4a1c-aca7-a06dc6e34e91</vt:lpwstr>
  </property>
  <property fmtid="{D5CDD505-2E9C-101B-9397-08002B2CF9AE}" pid="8" name="MSIP_Label_c60f7b08-be94-4814-8ecb-4fe8aec82ba6_ContentBits">
    <vt:lpwstr>2</vt:lpwstr>
  </property>
  <property fmtid="{D5CDD505-2E9C-101B-9397-08002B2CF9AE}" pid="9" name="MSIP_Label_c60f7b08-be94-4814-8ecb-4fe8aec82ba6_Tag">
    <vt:lpwstr>50, 3, 0, 1</vt:lpwstr>
  </property>
</Properties>
</file>